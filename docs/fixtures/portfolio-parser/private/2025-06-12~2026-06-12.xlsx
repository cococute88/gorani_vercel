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f15\OneDrive\Documents\"/>
    </mc:Choice>
  </mc:AlternateContent>
  <bookViews>
    <workbookView xWindow="0" yWindow="0" windowWidth="28800" windowHeight="12165"/>
  </bookViews>
  <sheets>
    <sheet name="뱅샐현황" sheetId="1" r:id="rId1"/>
    <sheet name="가계부 내역" sheetId="2" r:id="rId2"/>
  </sheets>
  <calcPr calcId="162913"/>
</workbook>
</file>

<file path=xl/calcChain.xml><?xml version="1.0" encoding="utf-8"?>
<calcChain xmlns="http://schemas.openxmlformats.org/spreadsheetml/2006/main">
  <c r="G208" i="1" l="1"/>
  <c r="F208" i="1"/>
  <c r="D208" i="1"/>
  <c r="H201" i="1"/>
  <c r="G201" i="1"/>
  <c r="F201" i="1"/>
  <c r="F153" i="1"/>
  <c r="I143" i="1"/>
  <c r="E143" i="1"/>
  <c r="B145" i="1" s="1"/>
  <c r="Q30" i="1"/>
  <c r="P30" i="1"/>
  <c r="O30" i="1"/>
  <c r="N30" i="1"/>
  <c r="M30" i="1"/>
  <c r="L30" i="1"/>
  <c r="K30" i="1"/>
  <c r="C30" i="1" s="1"/>
  <c r="D30" i="1" s="1"/>
  <c r="J30" i="1"/>
  <c r="I30" i="1"/>
  <c r="H30" i="1"/>
  <c r="G30" i="1"/>
  <c r="F30" i="1"/>
  <c r="E30" i="1"/>
  <c r="C29" i="1"/>
  <c r="D29" i="1" s="1"/>
  <c r="C28" i="1"/>
  <c r="D28" i="1" s="1"/>
  <c r="C27" i="1"/>
  <c r="D27" i="1" s="1"/>
  <c r="C26" i="1"/>
  <c r="D26" i="1" s="1"/>
  <c r="D25" i="1"/>
  <c r="C25" i="1"/>
  <c r="C24" i="1"/>
  <c r="D24" i="1" s="1"/>
  <c r="C23" i="1"/>
  <c r="D23" i="1" s="1"/>
  <c r="C22" i="1"/>
  <c r="D22" i="1" s="1"/>
  <c r="C21" i="1"/>
  <c r="D21" i="1" s="1"/>
  <c r="C20" i="1"/>
  <c r="D20" i="1" s="1"/>
  <c r="D19" i="1"/>
  <c r="C19" i="1"/>
  <c r="C18" i="1"/>
  <c r="D18" i="1" s="1"/>
  <c r="C17" i="1"/>
  <c r="D17" i="1" s="1"/>
  <c r="Q16" i="1"/>
  <c r="Q31" i="1" s="1"/>
  <c r="P16" i="1"/>
  <c r="P31" i="1" s="1"/>
  <c r="O16" i="1"/>
  <c r="O31" i="1" s="1"/>
  <c r="N16" i="1"/>
  <c r="N31" i="1" s="1"/>
  <c r="M16" i="1"/>
  <c r="M31" i="1" s="1"/>
  <c r="L16" i="1"/>
  <c r="L31" i="1" s="1"/>
  <c r="K16" i="1"/>
  <c r="K31" i="1" s="1"/>
  <c r="J16" i="1"/>
  <c r="J31" i="1" s="1"/>
  <c r="I16" i="1"/>
  <c r="I31" i="1" s="1"/>
  <c r="H16" i="1"/>
  <c r="H31" i="1" s="1"/>
  <c r="G16" i="1"/>
  <c r="G31" i="1" s="1"/>
  <c r="F16" i="1"/>
  <c r="F31" i="1" s="1"/>
  <c r="E16" i="1"/>
  <c r="C16" i="1" s="1"/>
  <c r="D16" i="1" s="1"/>
  <c r="D15" i="1"/>
  <c r="C15" i="1"/>
  <c r="C14" i="1"/>
  <c r="D14" i="1" s="1"/>
  <c r="D13" i="1"/>
  <c r="C13" i="1"/>
  <c r="D12" i="1"/>
  <c r="C12" i="1"/>
  <c r="E31" i="1" l="1"/>
  <c r="C31" i="1" s="1"/>
  <c r="D31" i="1" s="1"/>
</calcChain>
</file>

<file path=xl/sharedStrings.xml><?xml version="1.0" encoding="utf-8"?>
<sst xmlns="http://schemas.openxmlformats.org/spreadsheetml/2006/main" count="4139" uniqueCount="423">
  <si>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</si>
  <si>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</si>
  <si>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</si>
  <si>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</si>
  <si>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</si>
  <si>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</si>
  <si>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</si>
  <si>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박정우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</si>
  <si>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</si>
  <si>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</si>
  <si>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</si>
  <si>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</si>
  <si>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</si>
  <si>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</si>
  <si>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</si>
  <si>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</si>
  <si>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</si>
  <si>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</si>
  <si>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</si>
  <si>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</si>
  <si>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</si>
  <si>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</si>
  <si>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</si>
  <si>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</si>
  <si>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</si>
  <si>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</si>
  <si>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</si>
  <si>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</si>
  <si>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금융수입</t>
  </si>
  <si>
    <t>급여</t>
  </si>
  <si>
    <t>용돈</t>
  </si>
  <si>
    <t>미분류</t>
  </si>
  <si>
    <t>월수입 총계</t>
  </si>
  <si>
    <t>경조/선물</t>
  </si>
  <si>
    <t>교육/학습</t>
  </si>
  <si>
    <t>교통</t>
  </si>
  <si>
    <t>금융</t>
  </si>
  <si>
    <t>문화/여가</t>
  </si>
  <si>
    <t>뷰티/미용</t>
  </si>
  <si>
    <t>생활</t>
  </si>
  <si>
    <t>식비</t>
  </si>
  <si>
    <t>여행/숙박</t>
  </si>
  <si>
    <t>온라인쇼핑</t>
  </si>
  <si>
    <t>의료/건강</t>
  </si>
  <si>
    <t>주거/통신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</si>
  <si>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</si>
  <si>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</si>
  <si>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</si>
  <si>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</si>
  <si>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</si>
  <si>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</si>
  <si>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</si>
  <si>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</si>
  <si>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</si>
  <si>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</si>
  <si>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E-RUN 파킹통장(예스뱅킹) #소액</t>
  </si>
  <si>
    <t>KB able Plus통장-저축예금 ①KRW ②원 ③현금 ④현금</t>
  </si>
  <si>
    <t>KB국민ONE통장-저축예금 ①KRW ②원 ③현금 ④현금</t>
  </si>
  <si>
    <t>NH1934우대통장(저축예금) #소액</t>
  </si>
  <si>
    <t>WON 통장 #소액</t>
  </si>
  <si>
    <t>간편페이통장 ①KRW ②원 ③현금 ④현금</t>
  </si>
  <si>
    <t>달달 하나 통장 #소액</t>
  </si>
  <si>
    <t>모니모 KB 매일이자 ①KRW ②원 ③현금 ④현금</t>
  </si>
  <si>
    <t>사이다입출금통장 #소액</t>
  </si>
  <si>
    <t>생활통장 #소액</t>
  </si>
  <si>
    <t>세이프박스 #소액</t>
  </si>
  <si>
    <t>입출금통장 #소액</t>
  </si>
  <si>
    <t>저금통 #소액</t>
  </si>
  <si>
    <t>저축예금 #소액</t>
  </si>
  <si>
    <t>저축예금(1석7조통장) #소액</t>
  </si>
  <si>
    <t>토스뱅크 통장 #소액</t>
  </si>
  <si>
    <t>플러스박스 #소액</t>
  </si>
  <si>
    <t>신탁 자산</t>
  </si>
  <si>
    <t>현금 자산</t>
  </si>
  <si>
    <t>현금</t>
  </si>
  <si>
    <t>저축성 자산</t>
  </si>
  <si>
    <t>새마을적금 ①KRW ②원 ③현금 ④현금</t>
  </si>
  <si>
    <t>애큐온적금 ①KRW ②원 ③현금 ④현금</t>
  </si>
  <si>
    <t>애큐온청년플랜적금 ①KRW ②원 ③현금 ④현금</t>
  </si>
  <si>
    <t>전자금융 자산</t>
  </si>
  <si>
    <t>네이버페이 머니 - edud****</t>
  </si>
  <si>
    <t>네이버페이 머니 - wjdt****</t>
  </si>
  <si>
    <t>카카오페이 머니 - 010*****571</t>
  </si>
  <si>
    <t>토스머니</t>
  </si>
  <si>
    <t>페이코포인트 - wj******@naver.com</t>
  </si>
  <si>
    <t>투자성 자산</t>
  </si>
  <si>
    <t>#소액</t>
  </si>
  <si>
    <t>키움TQQQ1 ①TQQQ ②위탁 ③성장 ④위성</t>
  </si>
  <si>
    <t>키움TQQQ3 ①TQQQ ②위탁 ③성장 ④위성</t>
  </si>
  <si>
    <t>키움QLD ①QLD ②위탁 ③성장 ④위성</t>
  </si>
  <si>
    <t>키움MSFT ①MSFT ②위탁 ③성장 ④위성</t>
  </si>
  <si>
    <t>키움QQQ ①QQQ ②위탁 ③성장 ④위성</t>
  </si>
  <si>
    <t>QLD ①QLD ②위탁 ③성장 ④위성</t>
  </si>
  <si>
    <t>TQQQ ①TQQQ ②위탁 ③성장 ④위성</t>
  </si>
  <si>
    <t>SPY ①SPY ②위탁 ③성장 ④위성</t>
  </si>
  <si>
    <t>QQQ ①QQQ ②위탁 ③성장 ④위성</t>
  </si>
  <si>
    <t>메리츠SGOV ①USD ②달러 ③현금 ④현금</t>
  </si>
  <si>
    <t>미래연금ACE미국S&amp;P500 ①SPY ②연금 ③성장 ④연금</t>
  </si>
  <si>
    <t>미래연금저축원MMF ①KRW ②원 ③현금 ④현금</t>
  </si>
  <si>
    <t>미래연금RISE미국S&amp;P500 ①SPY ②위탁 ③성장 ④위성</t>
  </si>
  <si>
    <t>미래연금ACE미국나스닥100 ①QQQ ②위탁 ③성장 ④위성</t>
  </si>
  <si>
    <t>GOOGL ①기타 ②위탁 ③성장 ④위성</t>
  </si>
  <si>
    <t>KBISAACE미국S&amp;P500 ①SPY ②ISA ③성장 ④ISA</t>
  </si>
  <si>
    <t>KBISAACE미국나스닥100 ①QQQ ②ISA ③성장 ④ISA</t>
  </si>
  <si>
    <t>KBISARISE미국나스닥100 ①QQQ ②ISA ③성장 ④ISA</t>
  </si>
  <si>
    <t>KB위탁ace나스닥 ①QQQ ②위탁 ③성장 ④위성</t>
  </si>
  <si>
    <t>KB위탁TIGER에센피 ①SPY ②위탁 ③성장 ④위성</t>
  </si>
  <si>
    <t>KB위탁RISE나스닥 ①QQQ ②위탁 ③성장 ④위성</t>
  </si>
  <si>
    <t>KB위탁넷플릭스 ①기타 ②위탁 ③성장 ④위성</t>
  </si>
  <si>
    <t>ISATIGER미국S&amp;P500 ①SPY ②ISA ③성장 ④ISA</t>
  </si>
  <si>
    <t>#qqq #소액</t>
  </si>
  <si>
    <t>#schd #소액</t>
  </si>
  <si>
    <t>토스QQQM ①QQQ ②위탁 ③성장 ④위성</t>
  </si>
  <si>
    <t>토스SPYM ①SPY ②위탁 ③성장 ④위성</t>
  </si>
  <si>
    <t>토스QLD ①QLD ②위탁 ③성장 ④위성</t>
  </si>
  <si>
    <t>토스VOO ①SPY ②위탁 ③성장 ④위성</t>
  </si>
  <si>
    <t>애플 #소액</t>
  </si>
  <si>
    <t>QQQ #소액</t>
  </si>
  <si>
    <t>삼성위탁SCHD ①SCHD ②위탁 ③배당 ④위배</t>
  </si>
  <si>
    <t>삼성위탁TQQQ ①TQQQ ②위탁 ③성장 ④위성</t>
  </si>
  <si>
    <t>삼성위탁QQQ ①QQQ ②위탁 ③성장 ④위성</t>
  </si>
  <si>
    <t>삼성위탁SPY ①SPY ②위탁 ③성장 ④위성</t>
  </si>
  <si>
    <t>테슬라 #소액</t>
  </si>
  <si>
    <t>넷플릭스 #소액</t>
  </si>
  <si>
    <t>CMA #소액</t>
  </si>
  <si>
    <t>CMA계좌 #소액</t>
  </si>
  <si>
    <t>Super365 #소액</t>
  </si>
  <si>
    <t>kb위탁원화잔고 정기적금 ①KRW ②원 ③현금 ④현금</t>
  </si>
  <si>
    <t>kb증권원예수금 ①KRW ②원 ③현금 ④현금</t>
  </si>
  <si>
    <t>kb증권잔고 #소액</t>
  </si>
  <si>
    <t>금융상품 #소액</t>
  </si>
  <si>
    <t>금현물전용 #소액</t>
  </si>
  <si>
    <t>메리츠달러 ①USD ②달러 ③현금 ④현금</t>
  </si>
  <si>
    <t>미래연금저축원예수금 ①KRW ②원 ③현금 ④현금</t>
  </si>
  <si>
    <t>미래종합 #소액</t>
  </si>
  <si>
    <t>미래종합잔고 #소액</t>
  </si>
  <si>
    <t>미래종합잔고2 #소액</t>
  </si>
  <si>
    <t>삼성증권 국내위탁 #소액</t>
  </si>
  <si>
    <t>삼성증권 달러잔액 #소액</t>
  </si>
  <si>
    <t>신한투자잔고 #소액</t>
  </si>
  <si>
    <t>카카오증권 종합계좌</t>
  </si>
  <si>
    <t>키움 위탁잔고 #소액</t>
  </si>
  <si>
    <t>키움3위탁달러잔고 미국단기채 ①USD ②달러 ③현금 ④현금</t>
  </si>
  <si>
    <t>키움위탁달러잔고 미국단기채 ①USD ②달러 ③현금 ④현금</t>
  </si>
  <si>
    <t>토스달러잔고 ①USD ②달러 ③현금 ④현금</t>
  </si>
  <si>
    <t>한투외화잔고 ①USD ②달러 ③현금 ④현금</t>
  </si>
  <si>
    <t>한투위탁계좌 #소액</t>
  </si>
  <si>
    <t>부동산</t>
  </si>
  <si>
    <t>동산</t>
  </si>
  <si>
    <t>기타 실물 자산</t>
  </si>
  <si>
    <t>보험 자산</t>
  </si>
  <si>
    <t>연금 자산</t>
  </si>
  <si>
    <t>IRP</t>
  </si>
  <si>
    <t>개인형IRP</t>
  </si>
  <si>
    <t>개인형IRP #소액</t>
  </si>
  <si>
    <t>박정우_IRP</t>
  </si>
  <si>
    <t>퇴직연금신탁</t>
  </si>
  <si>
    <t>한투개인형IRP #소액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</si>
  <si>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</si>
  <si>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</si>
  <si>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</si>
  <si>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</si>
  <si>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</si>
  <si>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</si>
  <si>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</si>
  <si>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</si>
  <si>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</si>
  <si>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</si>
  <si>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</si>
  <si>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</si>
  <si>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보유계약건수</t>
  </si>
  <si>
    <t>정상 0건</t>
  </si>
  <si>
    <t>총 납입금</t>
  </si>
  <si>
    <t>총 0건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</si>
  <si>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</si>
  <si>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</si>
  <si>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</si>
  <si>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</si>
  <si>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</si>
  <si>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</si>
  <si>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</si>
  <si>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</si>
  <si>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펀드</t>
  </si>
  <si>
    <t>한국투자증권</t>
  </si>
  <si>
    <t>카카오뱅크</t>
  </si>
  <si>
    <t>주식</t>
  </si>
  <si>
    <t>키움증권</t>
  </si>
  <si>
    <t>메리츠종금증권</t>
  </si>
  <si>
    <t>미래에셋증권</t>
  </si>
  <si>
    <t>KB증권</t>
  </si>
  <si>
    <t>토스증권</t>
  </si>
  <si>
    <t>삼성증권</t>
  </si>
  <si>
    <t>카카오페이 증권</t>
  </si>
  <si>
    <t>보유상품개수</t>
  </si>
  <si>
    <t>총 투자 원금</t>
  </si>
  <si>
    <t>총 평가 금액</t>
  </si>
  <si>
    <t>총 수익률</t>
  </si>
  <si>
    <t>총 42개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</si>
  <si>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</si>
  <si>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</si>
  <si>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</si>
  <si>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</si>
  <si>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</si>
  <si>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</si>
  <si>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</si>
  <si>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</si>
  <si>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</si>
  <si>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</si>
  <si>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</si>
  <si>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</si>
  <si>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</si>
  <si>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</si>
  <si>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</si>
  <si>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</si>
  <si>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</si>
  <si>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</si>
  <si>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</si>
  <si>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</si>
  <si>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이체</t>
  </si>
  <si>
    <t>Amazon_A</t>
  </si>
  <si>
    <t>KRW</t>
  </si>
  <si>
    <t>지출</t>
  </si>
  <si>
    <t>인터넷쇼핑</t>
  </si>
  <si>
    <t>서비스구독</t>
  </si>
  <si>
    <t>배민클럽_우아한형제</t>
  </si>
  <si>
    <t>네이버페이 간편결제(포인트)</t>
  </si>
  <si>
    <t>배달</t>
  </si>
  <si>
    <t>주식회사 우아한형제들</t>
  </si>
  <si>
    <t>토스 간편결제</t>
  </si>
  <si>
    <t>내계좌이체</t>
  </si>
  <si>
    <t>입금 내역</t>
  </si>
  <si>
    <t>VC002111327</t>
  </si>
  <si>
    <t>VC002113113</t>
  </si>
  <si>
    <t>수입</t>
  </si>
  <si>
    <t>입출금통장 이자</t>
  </si>
  <si>
    <t>통장 이자</t>
  </si>
  <si>
    <t>이자</t>
  </si>
  <si>
    <t>EI박정우</t>
  </si>
  <si>
    <t>저축</t>
  </si>
  <si>
    <t>뱅크샐러드 캐시</t>
  </si>
  <si>
    <t>관리비</t>
  </si>
  <si>
    <t>아파트관리비</t>
  </si>
  <si>
    <t>KT 가족만족 DC</t>
  </si>
  <si>
    <t>휴대폰</t>
  </si>
  <si>
    <t>(주)유니컴즈</t>
  </si>
  <si>
    <t>생필품</t>
  </si>
  <si>
    <t>다이소 부천중동시장점</t>
  </si>
  <si>
    <t>KB국민 트래블러스 체크카드(토심이)_교통</t>
  </si>
  <si>
    <t>저금통 이자</t>
  </si>
  <si>
    <t>정기이자 입금</t>
  </si>
  <si>
    <t>이자입금</t>
  </si>
  <si>
    <t>KT통신요금 자동납부</t>
  </si>
  <si>
    <t>카드대금</t>
  </si>
  <si>
    <t>KB카드출금</t>
  </si>
  <si>
    <t>부천지방소</t>
  </si>
  <si>
    <t>도서</t>
  </si>
  <si>
    <t>양도소득세</t>
  </si>
  <si>
    <t>서울지향초등</t>
  </si>
  <si>
    <t>니콘내콘</t>
  </si>
  <si>
    <t>더블엔씨</t>
  </si>
  <si>
    <t>VW</t>
  </si>
  <si>
    <t>5월급여</t>
  </si>
  <si>
    <t>패션</t>
  </si>
  <si>
    <t>오늘의 귀여움샵</t>
  </si>
  <si>
    <t>자산 추가</t>
  </si>
  <si>
    <t>채권(영웅문) #현금 #원화</t>
  </si>
  <si>
    <t>최미경</t>
  </si>
  <si>
    <t>주식회사 아성다이소</t>
  </si>
  <si>
    <t>카카오페이 간편결제</t>
  </si>
  <si>
    <t>맞춤형복지</t>
  </si>
  <si>
    <t>간편결제 지원금</t>
  </si>
  <si>
    <t>게임</t>
  </si>
  <si>
    <t>네이버캐쉬</t>
  </si>
  <si>
    <t>네이버페이 간편결제(머니)</t>
  </si>
  <si>
    <t>충전 내역</t>
  </si>
  <si>
    <t>네이버페이 머니</t>
  </si>
  <si>
    <t>네이버페이충전</t>
  </si>
  <si>
    <t>Nvdnj</t>
  </si>
  <si>
    <t>KB국민 노리2 체크카드(Global)_교통</t>
  </si>
  <si>
    <t>식재료</t>
  </si>
  <si>
    <t>마켓컬리</t>
  </si>
  <si>
    <t>카드</t>
  </si>
  <si>
    <t>(주)비바리퍼블리카</t>
  </si>
  <si>
    <t>(주) 비바리퍼블리카</t>
  </si>
  <si>
    <t>가구/가전</t>
  </si>
  <si>
    <t>29CM</t>
  </si>
  <si>
    <t>컬쳐랜드 상품권</t>
  </si>
  <si>
    <t>신발</t>
  </si>
  <si>
    <t>스케쳐스코리아</t>
  </si>
  <si>
    <t>네이버페이 간편결제</t>
  </si>
  <si>
    <t>4월급여</t>
  </si>
  <si>
    <t>world.taobao.com</t>
  </si>
  <si>
    <t>#현금</t>
  </si>
  <si>
    <t>4388삼성</t>
  </si>
  <si>
    <t>주식회사 버킷플레이스</t>
  </si>
  <si>
    <t>(주)한섬</t>
  </si>
  <si>
    <t>ABLY</t>
  </si>
  <si>
    <t>토스쇼핑</t>
  </si>
  <si>
    <t>오늘의집</t>
  </si>
  <si>
    <t>모니모적립</t>
  </si>
  <si>
    <t>통장 개설</t>
  </si>
  <si>
    <t>선물</t>
  </si>
  <si>
    <t>포인트선물</t>
  </si>
  <si>
    <t>케이박정우</t>
  </si>
  <si>
    <t>예금해지</t>
  </si>
  <si>
    <t>해지</t>
  </si>
  <si>
    <t>전환이자입금</t>
  </si>
  <si>
    <t>성과상여금</t>
  </si>
  <si>
    <t>Points Expired</t>
  </si>
  <si>
    <t>페이코포인트</t>
  </si>
  <si>
    <t>백화점</t>
  </si>
  <si>
    <t>갤러리아백화점</t>
  </si>
  <si>
    <t>예금결산이자</t>
  </si>
  <si>
    <t>주식회사 카카오</t>
  </si>
  <si>
    <t>디지털온누리</t>
  </si>
  <si>
    <t>카드매출취소환급</t>
  </si>
  <si>
    <t>결제/충전</t>
  </si>
  <si>
    <t>온누리충전</t>
  </si>
  <si>
    <t>3월급여</t>
  </si>
  <si>
    <t>2026년결산</t>
  </si>
  <si>
    <t>토스증권박정우</t>
  </si>
  <si>
    <t>8732국민카드</t>
  </si>
  <si>
    <t>출자유보금등지급</t>
  </si>
  <si>
    <t>서울양원초등</t>
  </si>
  <si>
    <t>(주)아성다이소</t>
  </si>
  <si>
    <t>4847케이계좌인증</t>
  </si>
  <si>
    <t>서울091</t>
  </si>
  <si>
    <t>번개장터_프로상점</t>
  </si>
  <si>
    <t>투자</t>
  </si>
  <si>
    <t>기프티스타</t>
  </si>
  <si>
    <t>토스 브랜드콘</t>
  </si>
  <si>
    <t>토스498</t>
  </si>
  <si>
    <t>브랜드 쿠폰북 캐시백</t>
  </si>
  <si>
    <t>모두 다 캐시백</t>
  </si>
  <si>
    <t>넷마블 주식회사</t>
  </si>
  <si>
    <t>ONE(K-패스)</t>
  </si>
  <si>
    <t>2월급여</t>
  </si>
  <si>
    <t>WWW.ALIEXPRESS.COM</t>
  </si>
  <si>
    <t>우리카드결제</t>
  </si>
  <si>
    <t>서정미</t>
  </si>
  <si>
    <t>서울406</t>
  </si>
  <si>
    <t>취미/체험</t>
  </si>
  <si>
    <t>펜로그</t>
  </si>
  <si>
    <t>1월급여</t>
  </si>
  <si>
    <t>증권/투자</t>
  </si>
  <si>
    <t>이베스트</t>
  </si>
  <si>
    <t>카드의정석 SHOPPING+</t>
  </si>
  <si>
    <t>박현수</t>
  </si>
  <si>
    <t>적금해지(0831)</t>
  </si>
  <si>
    <t>적금(0831)</t>
  </si>
  <si>
    <t>SBI [홍색상추]</t>
  </si>
  <si>
    <t>ES</t>
  </si>
  <si>
    <t>ES예금신규</t>
  </si>
  <si>
    <t>ES해지입금</t>
  </si>
  <si>
    <t>은행</t>
  </si>
  <si>
    <t>8457 계좌개설용</t>
  </si>
  <si>
    <t>(주)아이즈비전</t>
  </si>
  <si>
    <t>강서양천청</t>
  </si>
  <si>
    <t>결산이자</t>
  </si>
  <si>
    <t>업비트 입금</t>
  </si>
  <si>
    <t>12월급여</t>
  </si>
  <si>
    <t>2025년결산</t>
  </si>
  <si>
    <t>카카오페이 머니</t>
  </si>
  <si>
    <t>박*우</t>
  </si>
  <si>
    <t>동전 모으기</t>
  </si>
  <si>
    <t>alipay</t>
  </si>
  <si>
    <t>TAOBAO                   Singapore   SGP</t>
  </si>
  <si>
    <t>해외결제</t>
  </si>
  <si>
    <t>alipay                   Singapore   SGP</t>
  </si>
  <si>
    <t>내계좌로 이체</t>
  </si>
  <si>
    <t>화장품</t>
  </si>
  <si>
    <t>올리브영</t>
  </si>
  <si>
    <t>(주)클리오</t>
  </si>
  <si>
    <t>페이코 간편결제</t>
  </si>
  <si>
    <t>학습교재</t>
  </si>
  <si>
    <t>(주)천재교육</t>
  </si>
  <si>
    <t>8753 우리카드</t>
  </si>
  <si>
    <t>약국</t>
  </si>
  <si>
    <t>WALGREENS #7590</t>
  </si>
  <si>
    <t>WALGREENS #6161</t>
  </si>
  <si>
    <t>11월급여</t>
  </si>
  <si>
    <t>AliExpress Korea Limited</t>
  </si>
  <si>
    <t>Fashion Choice Pte L</t>
  </si>
  <si>
    <t>화장품마트</t>
  </si>
  <si>
    <t>KB포인트리(충전)</t>
  </si>
  <si>
    <t>10월급여</t>
  </si>
  <si>
    <t>홈쇼핑</t>
  </si>
  <si>
    <t>GSSHOP</t>
  </si>
  <si>
    <t>(주)지에스리테일 홈</t>
  </si>
  <si>
    <t>Alipay Plus</t>
  </si>
  <si>
    <t>옥션</t>
  </si>
  <si>
    <t>G마켓</t>
  </si>
  <si>
    <t>일반결제 G마켓 상품</t>
  </si>
  <si>
    <t>추석비용</t>
  </si>
  <si>
    <t>스마일페이 G마켓 상</t>
  </si>
  <si>
    <t>(주)카카오</t>
  </si>
  <si>
    <t>일반결제 G마켓 상품권</t>
  </si>
  <si>
    <t>알라딘커뮤니케이션</t>
  </si>
  <si>
    <t>번개장터_택배거래</t>
  </si>
  <si>
    <t>현대홈쇼핑-백화점관 일반</t>
  </si>
  <si>
    <t>SSG.COM</t>
  </si>
  <si>
    <t>신세계 삼성지엔미포인트체크카드 즉불</t>
  </si>
  <si>
    <t>11번가</t>
  </si>
  <si>
    <t>네이버페이</t>
  </si>
  <si>
    <t>동경레이블</t>
  </si>
  <si>
    <t>토스페이_마켓컬리</t>
  </si>
  <si>
    <t>리디</t>
  </si>
  <si>
    <t>G마켓(1566-5701)</t>
  </si>
  <si>
    <t>8월급여</t>
  </si>
  <si>
    <t>롯데카드환불</t>
  </si>
  <si>
    <t>대중교통</t>
  </si>
  <si>
    <t>모바일 티머니 충전(후불형)</t>
  </si>
  <si>
    <t>모바일티머니_버스</t>
  </si>
  <si>
    <t>카카오</t>
  </si>
  <si>
    <t>244업비트</t>
  </si>
  <si>
    <t>롯데카드2507</t>
  </si>
  <si>
    <t>7월급여</t>
  </si>
  <si>
    <t>예스이십사 주식회사</t>
  </si>
  <si>
    <t>하나카드연회비</t>
  </si>
  <si>
    <t>한투로옮김2</t>
  </si>
  <si>
    <t>한투로옮김1</t>
  </si>
  <si>
    <t>6월급여</t>
  </si>
  <si>
    <t>하나카드캐시백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</si>
</sst>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#,##0.00\ &quot;%&quot;\ "/>
    <numFmt numFmtId="178" formatCode="hh:mm"/>
  </numFmts>
  <fonts count="5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3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3" fontId="2" fillId="7" borderId="9" xfId="0" applyNumberFormat="1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3" fontId="0" fillId="0" borderId="14" xfId="0" applyNumberFormat="1" applyBorder="1"/>
    <xf numFmtId="0" fontId="0" fillId="0" borderId="14" xfId="0" applyBorder="1"/>
    <xf numFmtId="3" fontId="2" fillId="8" borderId="13" xfId="0" applyNumberFormat="1" applyFont="1" applyFill="1" applyBorder="1"/>
    <xf numFmtId="3" fontId="2" fillId="8" borderId="14" xfId="0" applyNumberFormat="1" applyFont="1" applyFill="1" applyBorder="1"/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2" fillId="7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3" fontId="2" fillId="7" borderId="21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0" fillId="0" borderId="23" xfId="0" applyNumberFormat="1" applyBorder="1"/>
    <xf numFmtId="4" fontId="0" fillId="0" borderId="23" xfId="0" applyNumberFormat="1" applyBorder="1"/>
    <xf numFmtId="176" fontId="0" fillId="0" borderId="7" xfId="0" applyNumberFormat="1" applyBorder="1"/>
    <xf numFmtId="177" fontId="2" fillId="7" borderId="21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0" xfId="0" applyNumberFormat="1"/>
    <xf numFmtId="178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3" fontId="2" fillId="8" borderId="16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7" xfId="0" applyBorder="1"/>
    <xf numFmtId="3" fontId="3" fillId="6" borderId="8" xfId="0" applyNumberFormat="1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3" fontId="3" fillId="9" borderId="8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3" fontId="2" fillId="7" borderId="2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208"/>
  <sheetViews>
    <sheetView tabSelected="1" workbookViewId="0"/>
  </sheetViews>
  <sheetFormatPr defaultRowHeight="16.5" x14ac:dyDescent="0.3"/>
  <cols>
    <col min="1" max="1" width="2.75" customWidth="1"/>
    <col min="2" max="18" width="16.75" customWidth="1"/>
  </cols>
  <sheetData>
    <row r="3" spans="2:17" ht="20.25" x14ac:dyDescent="0.3">
      <c r="B3" s="1" t="s">
        <v>0</v>
      </c>
    </row>
    <row r="4" spans="2:17" x14ac:dyDescent="0.3">
      <c r="B4" t="s">
        <v>1</v>
      </c>
    </row>
    <row r="5" spans="2:17" x14ac:dyDescent="0.3">
      <c r="B5" s="2" t="s">
        <v>2</v>
      </c>
      <c r="C5" s="3" t="s">
        <v>3</v>
      </c>
      <c r="D5" s="3" t="s">
        <v>4</v>
      </c>
      <c r="E5" s="3" t="s">
        <v>5</v>
      </c>
      <c r="F5" s="43" t="s">
        <v>6</v>
      </c>
      <c r="G5" s="43"/>
    </row>
    <row r="6" spans="2:17" x14ac:dyDescent="0.3">
      <c r="B6" s="4" t="s">
        <v>7</v>
      </c>
      <c r="C6" s="5" t="s">
        <v>8</v>
      </c>
      <c r="D6" s="5">
        <v>30</v>
      </c>
      <c r="E6" s="5">
        <v>915</v>
      </c>
      <c r="F6" s="44" t="s">
        <v>9</v>
      </c>
      <c r="G6" s="44"/>
    </row>
    <row r="9" spans="2:17" ht="20.25" x14ac:dyDescent="0.3">
      <c r="B9" s="1" t="s">
        <v>10</v>
      </c>
    </row>
    <row r="10" spans="2:17" x14ac:dyDescent="0.3">
      <c r="B10" t="s">
        <v>11</v>
      </c>
    </row>
    <row r="11" spans="2:17" x14ac:dyDescent="0.3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 x14ac:dyDescent="0.3">
      <c r="B12" s="9" t="s">
        <v>28</v>
      </c>
      <c r="C12" s="10">
        <f t="shared" ref="C12:C31" si="0">SUM(E12:Q12)</f>
        <v>650324</v>
      </c>
      <c r="D12" s="10">
        <f t="shared" ref="D12:D31" si="1">C12/13</f>
        <v>50024.923076923078</v>
      </c>
      <c r="E12" s="10">
        <v>20049</v>
      </c>
      <c r="F12" s="10">
        <v>71562</v>
      </c>
      <c r="G12" s="10">
        <v>24605</v>
      </c>
      <c r="H12" s="10">
        <v>9381</v>
      </c>
      <c r="I12" s="10">
        <v>130</v>
      </c>
      <c r="J12" s="10">
        <v>136</v>
      </c>
      <c r="K12" s="10">
        <v>159</v>
      </c>
      <c r="L12" s="10">
        <v>11483</v>
      </c>
      <c r="M12" s="10">
        <v>49</v>
      </c>
      <c r="N12" s="10">
        <v>58</v>
      </c>
      <c r="O12" s="10">
        <v>512638</v>
      </c>
      <c r="P12" s="10">
        <v>36</v>
      </c>
      <c r="Q12" s="10">
        <v>38</v>
      </c>
    </row>
    <row r="13" spans="2:17" x14ac:dyDescent="0.3">
      <c r="B13" s="9" t="s">
        <v>29</v>
      </c>
      <c r="C13" s="10">
        <f t="shared" si="0"/>
        <v>36231320</v>
      </c>
      <c r="D13" s="10">
        <f t="shared" si="1"/>
        <v>2787024.6153846155</v>
      </c>
      <c r="E13" s="10">
        <v>2977800</v>
      </c>
      <c r="F13" s="10">
        <v>3437750</v>
      </c>
      <c r="G13" s="10">
        <v>2972420</v>
      </c>
      <c r="H13" s="10">
        <v>0</v>
      </c>
      <c r="I13" s="10">
        <v>2896180</v>
      </c>
      <c r="J13" s="10">
        <v>2896180</v>
      </c>
      <c r="K13" s="10">
        <v>3008680</v>
      </c>
      <c r="L13" s="10">
        <v>3963560</v>
      </c>
      <c r="M13" s="10">
        <v>5197820</v>
      </c>
      <c r="N13" s="10">
        <v>3125640</v>
      </c>
      <c r="O13" s="10">
        <v>2842230</v>
      </c>
      <c r="P13" s="10">
        <v>2913060</v>
      </c>
      <c r="Q13" s="10">
        <v>0</v>
      </c>
    </row>
    <row r="14" spans="2:17" x14ac:dyDescent="0.3">
      <c r="B14" s="9" t="s">
        <v>30</v>
      </c>
      <c r="C14" s="10">
        <f t="shared" si="0"/>
        <v>73651</v>
      </c>
      <c r="D14" s="10">
        <f t="shared" si="1"/>
        <v>5665.4615384615381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4550</v>
      </c>
      <c r="N14" s="10">
        <v>0</v>
      </c>
      <c r="O14" s="10">
        <v>27750</v>
      </c>
      <c r="P14" s="10">
        <v>41350</v>
      </c>
      <c r="Q14" s="10">
        <v>0</v>
      </c>
    </row>
    <row r="15" spans="2:17" x14ac:dyDescent="0.3">
      <c r="B15" s="9" t="s">
        <v>31</v>
      </c>
      <c r="C15" s="10">
        <f t="shared" si="0"/>
        <v>699</v>
      </c>
      <c r="D15" s="10">
        <f t="shared" si="1"/>
        <v>53.769230769230766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699</v>
      </c>
      <c r="O15" s="10">
        <v>0</v>
      </c>
      <c r="P15" s="10">
        <v>0</v>
      </c>
      <c r="Q15" s="10">
        <v>0</v>
      </c>
    </row>
    <row r="16" spans="2:17" x14ac:dyDescent="0.3">
      <c r="B16" s="11" t="s">
        <v>32</v>
      </c>
      <c r="C16" s="12">
        <f t="shared" si="0"/>
        <v>36955994</v>
      </c>
      <c r="D16" s="12">
        <f t="shared" si="1"/>
        <v>2842768.769230769</v>
      </c>
      <c r="E16" s="12">
        <f t="shared" ref="E16:Q16" si="2">SUM(E12:E15)</f>
        <v>2997849</v>
      </c>
      <c r="F16" s="12">
        <f t="shared" si="2"/>
        <v>3509313</v>
      </c>
      <c r="G16" s="12">
        <f t="shared" si="2"/>
        <v>2997025</v>
      </c>
      <c r="H16" s="12">
        <f t="shared" si="2"/>
        <v>9381</v>
      </c>
      <c r="I16" s="12">
        <f t="shared" si="2"/>
        <v>2896310</v>
      </c>
      <c r="J16" s="12">
        <f t="shared" si="2"/>
        <v>2896316</v>
      </c>
      <c r="K16" s="12">
        <f t="shared" si="2"/>
        <v>3008839</v>
      </c>
      <c r="L16" s="12">
        <f t="shared" si="2"/>
        <v>3975043</v>
      </c>
      <c r="M16" s="12">
        <f t="shared" si="2"/>
        <v>5202419</v>
      </c>
      <c r="N16" s="12">
        <f t="shared" si="2"/>
        <v>3126397</v>
      </c>
      <c r="O16" s="12">
        <f t="shared" si="2"/>
        <v>3382618</v>
      </c>
      <c r="P16" s="12">
        <f t="shared" si="2"/>
        <v>2954446</v>
      </c>
      <c r="Q16" s="12">
        <f t="shared" si="2"/>
        <v>38</v>
      </c>
    </row>
    <row r="17" spans="2:17" x14ac:dyDescent="0.3">
      <c r="B17" s="9" t="s">
        <v>33</v>
      </c>
      <c r="C17" s="10">
        <f t="shared" si="0"/>
        <v>127396</v>
      </c>
      <c r="D17" s="10">
        <f t="shared" si="1"/>
        <v>9799.6923076923085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89547</v>
      </c>
      <c r="N17" s="10">
        <v>0</v>
      </c>
      <c r="O17" s="10">
        <v>37849</v>
      </c>
      <c r="P17" s="10">
        <v>0</v>
      </c>
      <c r="Q17" s="10">
        <v>0</v>
      </c>
    </row>
    <row r="18" spans="2:17" x14ac:dyDescent="0.3">
      <c r="B18" s="9" t="s">
        <v>34</v>
      </c>
      <c r="C18" s="10">
        <f t="shared" si="0"/>
        <v>120820</v>
      </c>
      <c r="D18" s="10">
        <f t="shared" si="1"/>
        <v>9293.8461538461543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120820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pans="2:17" x14ac:dyDescent="0.3">
      <c r="B19" s="9" t="s">
        <v>35</v>
      </c>
      <c r="C19" s="10">
        <f t="shared" si="0"/>
        <v>53000</v>
      </c>
      <c r="D19" s="10">
        <f t="shared" si="1"/>
        <v>4076.9230769230771</v>
      </c>
      <c r="E19" s="10">
        <v>0</v>
      </c>
      <c r="F19" s="10">
        <v>0</v>
      </c>
      <c r="G19" s="10">
        <v>53000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</row>
    <row r="20" spans="2:17" x14ac:dyDescent="0.3">
      <c r="B20" s="9" t="s">
        <v>36</v>
      </c>
      <c r="C20" s="10">
        <f t="shared" si="0"/>
        <v>368060</v>
      </c>
      <c r="D20" s="10">
        <f t="shared" si="1"/>
        <v>28312.307692307691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1766</v>
      </c>
      <c r="K20" s="10">
        <v>200261</v>
      </c>
      <c r="L20" s="10">
        <v>130500</v>
      </c>
      <c r="M20" s="10">
        <v>669</v>
      </c>
      <c r="N20" s="10">
        <v>0</v>
      </c>
      <c r="O20" s="10">
        <v>34864</v>
      </c>
      <c r="P20" s="10">
        <v>0</v>
      </c>
      <c r="Q20" s="10">
        <v>0</v>
      </c>
    </row>
    <row r="21" spans="2:17" x14ac:dyDescent="0.3">
      <c r="B21" s="9" t="s">
        <v>37</v>
      </c>
      <c r="C21" s="10">
        <f t="shared" si="0"/>
        <v>547886</v>
      </c>
      <c r="D21" s="10">
        <f t="shared" si="1"/>
        <v>42145.076923076922</v>
      </c>
      <c r="E21" s="10">
        <v>0</v>
      </c>
      <c r="F21" s="10">
        <v>0</v>
      </c>
      <c r="G21" s="10">
        <v>0</v>
      </c>
      <c r="H21" s="10">
        <v>2670</v>
      </c>
      <c r="I21" s="10">
        <v>0</v>
      </c>
      <c r="J21" s="10">
        <v>0</v>
      </c>
      <c r="K21" s="10">
        <v>0</v>
      </c>
      <c r="L21" s="10">
        <v>31050</v>
      </c>
      <c r="M21" s="10">
        <v>27550</v>
      </c>
      <c r="N21" s="10">
        <v>0</v>
      </c>
      <c r="O21" s="10">
        <v>53536</v>
      </c>
      <c r="P21" s="10">
        <v>433080</v>
      </c>
      <c r="Q21" s="10">
        <v>0</v>
      </c>
    </row>
    <row r="22" spans="2:17" x14ac:dyDescent="0.3">
      <c r="B22" s="9" t="s">
        <v>38</v>
      </c>
      <c r="C22" s="10">
        <f t="shared" si="0"/>
        <v>34264</v>
      </c>
      <c r="D22" s="10">
        <f t="shared" si="1"/>
        <v>2635.6923076923076</v>
      </c>
      <c r="E22" s="10">
        <v>0</v>
      </c>
      <c r="F22" s="10">
        <v>0</v>
      </c>
      <c r="G22" s="10">
        <v>0</v>
      </c>
      <c r="H22" s="10">
        <v>0</v>
      </c>
      <c r="I22" s="10">
        <v>4500</v>
      </c>
      <c r="J22" s="10">
        <v>1766</v>
      </c>
      <c r="K22" s="10">
        <v>27998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</row>
    <row r="23" spans="2:17" x14ac:dyDescent="0.3">
      <c r="B23" s="9" t="s">
        <v>39</v>
      </c>
      <c r="C23" s="10">
        <f t="shared" si="0"/>
        <v>66773</v>
      </c>
      <c r="D23" s="10">
        <f t="shared" si="1"/>
        <v>5136.3846153846152</v>
      </c>
      <c r="E23" s="10">
        <v>0</v>
      </c>
      <c r="F23" s="10">
        <v>0</v>
      </c>
      <c r="G23" s="10">
        <v>0</v>
      </c>
      <c r="H23" s="10">
        <v>3000</v>
      </c>
      <c r="I23" s="10">
        <v>13020</v>
      </c>
      <c r="J23" s="10">
        <v>3000</v>
      </c>
      <c r="K23" s="10">
        <v>3000</v>
      </c>
      <c r="L23" s="10">
        <v>0</v>
      </c>
      <c r="M23" s="10">
        <v>0</v>
      </c>
      <c r="N23" s="10">
        <v>0</v>
      </c>
      <c r="O23" s="10">
        <v>39753</v>
      </c>
      <c r="P23" s="10">
        <v>5000</v>
      </c>
      <c r="Q23" s="10">
        <v>0</v>
      </c>
    </row>
    <row r="24" spans="2:17" x14ac:dyDescent="0.3">
      <c r="B24" s="9" t="s">
        <v>40</v>
      </c>
      <c r="C24" s="10">
        <f t="shared" si="0"/>
        <v>49330</v>
      </c>
      <c r="D24" s="10">
        <f t="shared" si="1"/>
        <v>3794.6153846153848</v>
      </c>
      <c r="E24" s="10">
        <v>0</v>
      </c>
      <c r="F24" s="10">
        <v>0</v>
      </c>
      <c r="G24" s="10">
        <v>27400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17950</v>
      </c>
      <c r="P24" s="10">
        <v>1990</v>
      </c>
      <c r="Q24" s="10">
        <v>1990</v>
      </c>
    </row>
    <row r="25" spans="2:17" x14ac:dyDescent="0.3">
      <c r="B25" s="9" t="s">
        <v>41</v>
      </c>
      <c r="C25" s="10">
        <f t="shared" si="0"/>
        <v>446</v>
      </c>
      <c r="D25" s="10">
        <f t="shared" si="1"/>
        <v>34.307692307692307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446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</row>
    <row r="26" spans="2:17" x14ac:dyDescent="0.3">
      <c r="B26" s="9" t="s">
        <v>42</v>
      </c>
      <c r="C26" s="10">
        <f t="shared" si="0"/>
        <v>7257045</v>
      </c>
      <c r="D26" s="10">
        <f t="shared" si="1"/>
        <v>558234.23076923075</v>
      </c>
      <c r="E26" s="10">
        <v>555</v>
      </c>
      <c r="F26" s="10">
        <v>0</v>
      </c>
      <c r="G26" s="10">
        <v>47935</v>
      </c>
      <c r="H26" s="10">
        <v>221868</v>
      </c>
      <c r="I26" s="10">
        <v>2462906</v>
      </c>
      <c r="J26" s="10">
        <v>3759148</v>
      </c>
      <c r="K26" s="10">
        <v>548621</v>
      </c>
      <c r="L26" s="10">
        <v>57266</v>
      </c>
      <c r="M26" s="10">
        <v>41144</v>
      </c>
      <c r="N26" s="10">
        <v>83700</v>
      </c>
      <c r="O26" s="10">
        <v>27012</v>
      </c>
      <c r="P26" s="10">
        <v>6790</v>
      </c>
      <c r="Q26" s="10">
        <v>100</v>
      </c>
    </row>
    <row r="27" spans="2:17" x14ac:dyDescent="0.3">
      <c r="B27" s="9" t="s">
        <v>43</v>
      </c>
      <c r="C27" s="10">
        <f t="shared" si="0"/>
        <v>0</v>
      </c>
      <c r="D27" s="10">
        <f t="shared" si="1"/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</row>
    <row r="28" spans="2:17" x14ac:dyDescent="0.3">
      <c r="B28" s="9" t="s">
        <v>44</v>
      </c>
      <c r="C28" s="10">
        <f t="shared" si="0"/>
        <v>3960860</v>
      </c>
      <c r="D28" s="10">
        <f t="shared" si="1"/>
        <v>304681.53846153844</v>
      </c>
      <c r="E28" s="10">
        <v>291770</v>
      </c>
      <c r="F28" s="10">
        <v>320380</v>
      </c>
      <c r="G28" s="10">
        <v>320530</v>
      </c>
      <c r="H28" s="10">
        <v>401810</v>
      </c>
      <c r="I28" s="10">
        <v>341570</v>
      </c>
      <c r="J28" s="10">
        <v>307040</v>
      </c>
      <c r="K28" s="10">
        <v>314890</v>
      </c>
      <c r="L28" s="10">
        <v>326620</v>
      </c>
      <c r="M28" s="10">
        <v>349270</v>
      </c>
      <c r="N28" s="10">
        <v>347380</v>
      </c>
      <c r="O28" s="10">
        <v>317100</v>
      </c>
      <c r="P28" s="10">
        <v>322500</v>
      </c>
      <c r="Q28" s="10">
        <v>0</v>
      </c>
    </row>
    <row r="29" spans="2:17" x14ac:dyDescent="0.3">
      <c r="B29" s="9" t="s">
        <v>45</v>
      </c>
      <c r="C29" s="10">
        <f t="shared" si="0"/>
        <v>184709</v>
      </c>
      <c r="D29" s="10">
        <f t="shared" si="1"/>
        <v>14208.384615384615</v>
      </c>
      <c r="E29" s="10">
        <v>0</v>
      </c>
      <c r="F29" s="10">
        <v>0</v>
      </c>
      <c r="G29" s="10">
        <v>0</v>
      </c>
      <c r="H29" s="10">
        <v>11900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26360</v>
      </c>
      <c r="O29" s="10">
        <v>124449</v>
      </c>
      <c r="P29" s="10">
        <v>22000</v>
      </c>
      <c r="Q29" s="10">
        <v>0</v>
      </c>
    </row>
    <row r="30" spans="2:17" x14ac:dyDescent="0.3">
      <c r="B30" s="11" t="s">
        <v>46</v>
      </c>
      <c r="C30" s="12">
        <f t="shared" si="0"/>
        <v>12770589</v>
      </c>
      <c r="D30" s="12">
        <f t="shared" si="1"/>
        <v>982353</v>
      </c>
      <c r="E30" s="12">
        <f t="shared" ref="E30:Q30" si="3">SUM(E17:E29)</f>
        <v>292325</v>
      </c>
      <c r="F30" s="12">
        <f t="shared" si="3"/>
        <v>320380</v>
      </c>
      <c r="G30" s="12">
        <f t="shared" si="3"/>
        <v>448865</v>
      </c>
      <c r="H30" s="12">
        <f t="shared" si="3"/>
        <v>641248</v>
      </c>
      <c r="I30" s="12">
        <f t="shared" si="3"/>
        <v>2821996</v>
      </c>
      <c r="J30" s="12">
        <f t="shared" si="3"/>
        <v>4072720</v>
      </c>
      <c r="K30" s="12">
        <f t="shared" si="3"/>
        <v>1216036</v>
      </c>
      <c r="L30" s="12">
        <f t="shared" si="3"/>
        <v>545436</v>
      </c>
      <c r="M30" s="12">
        <f t="shared" si="3"/>
        <v>508180</v>
      </c>
      <c r="N30" s="12">
        <f t="shared" si="3"/>
        <v>457440</v>
      </c>
      <c r="O30" s="12">
        <f t="shared" si="3"/>
        <v>652513</v>
      </c>
      <c r="P30" s="12">
        <f t="shared" si="3"/>
        <v>791360</v>
      </c>
      <c r="Q30" s="12">
        <f t="shared" si="3"/>
        <v>2090</v>
      </c>
    </row>
    <row r="31" spans="2:17" x14ac:dyDescent="0.3">
      <c r="B31" s="13" t="s">
        <v>47</v>
      </c>
      <c r="C31" s="14">
        <f t="shared" si="0"/>
        <v>24185405</v>
      </c>
      <c r="D31" s="14">
        <f t="shared" si="1"/>
        <v>1860415.7692307692</v>
      </c>
      <c r="E31" s="14">
        <f t="shared" ref="E31:Q31" si="4">E16-E30</f>
        <v>2705524</v>
      </c>
      <c r="F31" s="14">
        <f t="shared" si="4"/>
        <v>3188933</v>
      </c>
      <c r="G31" s="14">
        <f t="shared" si="4"/>
        <v>2548160</v>
      </c>
      <c r="H31" s="14">
        <f t="shared" si="4"/>
        <v>-631867</v>
      </c>
      <c r="I31" s="14">
        <f t="shared" si="4"/>
        <v>74314</v>
      </c>
      <c r="J31" s="14">
        <f t="shared" si="4"/>
        <v>-1176404</v>
      </c>
      <c r="K31" s="14">
        <f t="shared" si="4"/>
        <v>1792803</v>
      </c>
      <c r="L31" s="14">
        <f t="shared" si="4"/>
        <v>3429607</v>
      </c>
      <c r="M31" s="14">
        <f t="shared" si="4"/>
        <v>4694239</v>
      </c>
      <c r="N31" s="14">
        <f t="shared" si="4"/>
        <v>2668957</v>
      </c>
      <c r="O31" s="14">
        <f t="shared" si="4"/>
        <v>2730105</v>
      </c>
      <c r="P31" s="14">
        <f t="shared" si="4"/>
        <v>2163086</v>
      </c>
      <c r="Q31" s="14">
        <f t="shared" si="4"/>
        <v>-2052</v>
      </c>
    </row>
    <row r="34" spans="2:9" ht="20.25" x14ac:dyDescent="0.3">
      <c r="B34" s="1" t="s">
        <v>48</v>
      </c>
    </row>
    <row r="35" spans="2:9" x14ac:dyDescent="0.3">
      <c r="B35" t="s">
        <v>49</v>
      </c>
    </row>
    <row r="36" spans="2:9" x14ac:dyDescent="0.3">
      <c r="B36" s="45" t="s">
        <v>50</v>
      </c>
      <c r="C36" s="45"/>
      <c r="D36" s="45"/>
      <c r="E36" s="45"/>
      <c r="F36" s="46" t="s">
        <v>51</v>
      </c>
      <c r="G36" s="46"/>
      <c r="H36" s="46"/>
      <c r="I36" s="46"/>
    </row>
    <row r="37" spans="2:9" x14ac:dyDescent="0.3">
      <c r="B37" s="15" t="s">
        <v>12</v>
      </c>
      <c r="C37" s="47" t="s">
        <v>52</v>
      </c>
      <c r="D37" s="47"/>
      <c r="E37" s="16" t="s">
        <v>53</v>
      </c>
      <c r="F37" s="16" t="s">
        <v>12</v>
      </c>
      <c r="G37" s="47" t="s">
        <v>52</v>
      </c>
      <c r="H37" s="47"/>
      <c r="I37" s="16" t="s">
        <v>53</v>
      </c>
    </row>
    <row r="38" spans="2:9" x14ac:dyDescent="0.3">
      <c r="B38" s="48" t="s">
        <v>54</v>
      </c>
      <c r="C38" s="49" t="s">
        <v>55</v>
      </c>
      <c r="D38" s="49"/>
      <c r="E38" s="19">
        <v>3291</v>
      </c>
      <c r="F38" s="20" t="s">
        <v>158</v>
      </c>
      <c r="G38" s="49"/>
      <c r="H38" s="49"/>
      <c r="I38" s="21"/>
    </row>
    <row r="39" spans="2:9" x14ac:dyDescent="0.3">
      <c r="B39" s="48"/>
      <c r="C39" s="49" t="s">
        <v>56</v>
      </c>
      <c r="D39" s="49"/>
      <c r="E39" s="19">
        <v>532695</v>
      </c>
      <c r="F39" s="18"/>
      <c r="G39" s="49"/>
      <c r="H39" s="49"/>
      <c r="I39" s="22"/>
    </row>
    <row r="40" spans="2:9" x14ac:dyDescent="0.3">
      <c r="B40" s="48"/>
      <c r="C40" s="49" t="s">
        <v>57</v>
      </c>
      <c r="D40" s="49"/>
      <c r="E40" s="19">
        <v>590214</v>
      </c>
      <c r="F40" s="18"/>
      <c r="G40" s="49"/>
      <c r="H40" s="49"/>
      <c r="I40" s="22"/>
    </row>
    <row r="41" spans="2:9" x14ac:dyDescent="0.3">
      <c r="B41" s="48"/>
      <c r="C41" s="49" t="s">
        <v>58</v>
      </c>
      <c r="D41" s="49"/>
      <c r="E41" s="19">
        <v>42012</v>
      </c>
      <c r="F41" s="18"/>
      <c r="G41" s="49"/>
      <c r="H41" s="49"/>
      <c r="I41" s="22"/>
    </row>
    <row r="42" spans="2:9" x14ac:dyDescent="0.3">
      <c r="B42" s="48"/>
      <c r="C42" s="49" t="s">
        <v>59</v>
      </c>
      <c r="D42" s="49"/>
      <c r="E42" s="19">
        <v>13702</v>
      </c>
      <c r="F42" s="18"/>
      <c r="G42" s="49"/>
      <c r="H42" s="49"/>
      <c r="I42" s="22"/>
    </row>
    <row r="43" spans="2:9" x14ac:dyDescent="0.3">
      <c r="B43" s="48"/>
      <c r="C43" s="49" t="s">
        <v>60</v>
      </c>
      <c r="D43" s="49"/>
      <c r="E43" s="19">
        <v>201029</v>
      </c>
      <c r="F43" s="18"/>
      <c r="G43" s="49"/>
      <c r="H43" s="49"/>
      <c r="I43" s="22"/>
    </row>
    <row r="44" spans="2:9" x14ac:dyDescent="0.3">
      <c r="B44" s="48"/>
      <c r="C44" s="49" t="s">
        <v>61</v>
      </c>
      <c r="D44" s="49"/>
      <c r="E44" s="19">
        <v>0</v>
      </c>
      <c r="F44" s="18"/>
      <c r="G44" s="49"/>
      <c r="H44" s="49"/>
      <c r="I44" s="22"/>
    </row>
    <row r="45" spans="2:9" x14ac:dyDescent="0.3">
      <c r="B45" s="48"/>
      <c r="C45" s="49" t="s">
        <v>62</v>
      </c>
      <c r="D45" s="49"/>
      <c r="E45" s="19">
        <v>1316217</v>
      </c>
      <c r="F45" s="18"/>
      <c r="G45" s="49"/>
      <c r="H45" s="49"/>
      <c r="I45" s="22"/>
    </row>
    <row r="46" spans="2:9" x14ac:dyDescent="0.3">
      <c r="B46" s="48"/>
      <c r="C46" s="49" t="s">
        <v>63</v>
      </c>
      <c r="D46" s="49"/>
      <c r="E46" s="19">
        <v>19519</v>
      </c>
      <c r="F46" s="18"/>
      <c r="G46" s="49"/>
      <c r="H46" s="49"/>
      <c r="I46" s="22"/>
    </row>
    <row r="47" spans="2:9" x14ac:dyDescent="0.3">
      <c r="B47" s="48"/>
      <c r="C47" s="49" t="s">
        <v>64</v>
      </c>
      <c r="D47" s="49"/>
      <c r="E47" s="19">
        <v>7034</v>
      </c>
      <c r="F47" s="18"/>
      <c r="G47" s="49"/>
      <c r="H47" s="49"/>
      <c r="I47" s="22"/>
    </row>
    <row r="48" spans="2:9" x14ac:dyDescent="0.3">
      <c r="B48" s="48"/>
      <c r="C48" s="49" t="s">
        <v>65</v>
      </c>
      <c r="D48" s="49"/>
      <c r="E48" s="19">
        <v>203</v>
      </c>
      <c r="F48" s="18"/>
      <c r="G48" s="49"/>
      <c r="H48" s="49"/>
      <c r="I48" s="22"/>
    </row>
    <row r="49" spans="2:9" x14ac:dyDescent="0.3">
      <c r="B49" s="48"/>
      <c r="C49" s="49" t="s">
        <v>66</v>
      </c>
      <c r="D49" s="49"/>
      <c r="E49" s="19">
        <v>4</v>
      </c>
      <c r="F49" s="18"/>
      <c r="G49" s="49"/>
      <c r="H49" s="49"/>
      <c r="I49" s="22"/>
    </row>
    <row r="50" spans="2:9" x14ac:dyDescent="0.3">
      <c r="B50" s="48"/>
      <c r="C50" s="49" t="s">
        <v>67</v>
      </c>
      <c r="D50" s="49"/>
      <c r="E50" s="19">
        <v>1102</v>
      </c>
      <c r="F50" s="18"/>
      <c r="G50" s="49"/>
      <c r="H50" s="49"/>
      <c r="I50" s="22"/>
    </row>
    <row r="51" spans="2:9" x14ac:dyDescent="0.3">
      <c r="B51" s="48"/>
      <c r="C51" s="49" t="s">
        <v>68</v>
      </c>
      <c r="D51" s="49"/>
      <c r="E51" s="19">
        <v>113</v>
      </c>
      <c r="F51" s="18"/>
      <c r="G51" s="49"/>
      <c r="H51" s="49"/>
      <c r="I51" s="22"/>
    </row>
    <row r="52" spans="2:9" x14ac:dyDescent="0.3">
      <c r="B52" s="48"/>
      <c r="C52" s="49" t="s">
        <v>68</v>
      </c>
      <c r="D52" s="49"/>
      <c r="E52" s="19">
        <v>0</v>
      </c>
      <c r="F52" s="18"/>
      <c r="G52" s="49"/>
      <c r="H52" s="49"/>
      <c r="I52" s="22"/>
    </row>
    <row r="53" spans="2:9" x14ac:dyDescent="0.3">
      <c r="B53" s="48"/>
      <c r="C53" s="49" t="s">
        <v>69</v>
      </c>
      <c r="D53" s="49"/>
      <c r="E53" s="19">
        <v>12508</v>
      </c>
      <c r="F53" s="18"/>
      <c r="G53" s="49"/>
      <c r="H53" s="49"/>
      <c r="I53" s="22"/>
    </row>
    <row r="54" spans="2:9" x14ac:dyDescent="0.3">
      <c r="B54" s="48"/>
      <c r="C54" s="49" t="s">
        <v>70</v>
      </c>
      <c r="D54" s="49"/>
      <c r="E54" s="19">
        <v>6058</v>
      </c>
      <c r="F54" s="18"/>
      <c r="G54" s="49"/>
      <c r="H54" s="49"/>
      <c r="I54" s="22"/>
    </row>
    <row r="55" spans="2:9" x14ac:dyDescent="0.3">
      <c r="B55" s="48"/>
      <c r="C55" s="49" t="s">
        <v>71</v>
      </c>
      <c r="D55" s="49"/>
      <c r="E55" s="19">
        <v>0</v>
      </c>
      <c r="F55" s="18"/>
      <c r="G55" s="49"/>
      <c r="H55" s="49"/>
      <c r="I55" s="22"/>
    </row>
    <row r="56" spans="2:9" x14ac:dyDescent="0.3">
      <c r="B56" s="17" t="s">
        <v>72</v>
      </c>
      <c r="C56" s="49"/>
      <c r="D56" s="49"/>
      <c r="E56" s="19"/>
      <c r="F56" s="18"/>
      <c r="G56" s="49"/>
      <c r="H56" s="49"/>
      <c r="I56" s="22"/>
    </row>
    <row r="57" spans="2:9" x14ac:dyDescent="0.3">
      <c r="B57" s="17" t="s">
        <v>73</v>
      </c>
      <c r="C57" s="49" t="s">
        <v>74</v>
      </c>
      <c r="D57" s="49"/>
      <c r="E57" s="19">
        <v>0</v>
      </c>
      <c r="F57" s="18"/>
      <c r="G57" s="49"/>
      <c r="H57" s="49"/>
      <c r="I57" s="22"/>
    </row>
    <row r="58" spans="2:9" x14ac:dyDescent="0.3">
      <c r="B58" s="48" t="s">
        <v>75</v>
      </c>
      <c r="C58" s="49" t="s">
        <v>76</v>
      </c>
      <c r="D58" s="49"/>
      <c r="E58" s="19">
        <v>15000000</v>
      </c>
      <c r="F58" s="18"/>
      <c r="G58" s="49"/>
      <c r="H58" s="49"/>
      <c r="I58" s="22"/>
    </row>
    <row r="59" spans="2:9" x14ac:dyDescent="0.3">
      <c r="B59" s="48"/>
      <c r="C59" s="49" t="s">
        <v>77</v>
      </c>
      <c r="D59" s="49"/>
      <c r="E59" s="19">
        <v>1200000</v>
      </c>
      <c r="F59" s="18"/>
      <c r="G59" s="49"/>
      <c r="H59" s="49"/>
      <c r="I59" s="22"/>
    </row>
    <row r="60" spans="2:9" x14ac:dyDescent="0.3">
      <c r="B60" s="48"/>
      <c r="C60" s="49" t="s">
        <v>78</v>
      </c>
      <c r="D60" s="49"/>
      <c r="E60" s="19">
        <v>700000</v>
      </c>
      <c r="F60" s="18"/>
      <c r="G60" s="49"/>
      <c r="H60" s="49"/>
      <c r="I60" s="22"/>
    </row>
    <row r="61" spans="2:9" x14ac:dyDescent="0.3">
      <c r="B61" s="48" t="s">
        <v>79</v>
      </c>
      <c r="C61" s="49" t="s">
        <v>80</v>
      </c>
      <c r="D61" s="49"/>
      <c r="E61" s="19">
        <v>0</v>
      </c>
      <c r="F61" s="18"/>
      <c r="G61" s="49"/>
      <c r="H61" s="49"/>
      <c r="I61" s="22"/>
    </row>
    <row r="62" spans="2:9" x14ac:dyDescent="0.3">
      <c r="B62" s="48"/>
      <c r="C62" s="49" t="s">
        <v>81</v>
      </c>
      <c r="D62" s="49"/>
      <c r="E62" s="19">
        <v>0</v>
      </c>
      <c r="F62" s="18"/>
      <c r="G62" s="49"/>
      <c r="H62" s="49"/>
      <c r="I62" s="22"/>
    </row>
    <row r="63" spans="2:9" x14ac:dyDescent="0.3">
      <c r="B63" s="48"/>
      <c r="C63" s="49" t="s">
        <v>82</v>
      </c>
      <c r="D63" s="49"/>
      <c r="E63" s="19">
        <v>0</v>
      </c>
      <c r="F63" s="18"/>
      <c r="G63" s="49"/>
      <c r="H63" s="49"/>
      <c r="I63" s="22"/>
    </row>
    <row r="64" spans="2:9" x14ac:dyDescent="0.3">
      <c r="B64" s="48"/>
      <c r="C64" s="49" t="s">
        <v>83</v>
      </c>
      <c r="D64" s="49"/>
      <c r="E64" s="19">
        <v>0</v>
      </c>
      <c r="F64" s="18"/>
      <c r="G64" s="49"/>
      <c r="H64" s="49"/>
      <c r="I64" s="22"/>
    </row>
    <row r="65" spans="2:9" x14ac:dyDescent="0.3">
      <c r="B65" s="48"/>
      <c r="C65" s="49" t="s">
        <v>84</v>
      </c>
      <c r="D65" s="49"/>
      <c r="E65" s="19">
        <v>0</v>
      </c>
      <c r="F65" s="18"/>
      <c r="G65" s="49"/>
      <c r="H65" s="49"/>
      <c r="I65" s="22"/>
    </row>
    <row r="66" spans="2:9" x14ac:dyDescent="0.3">
      <c r="B66" s="48" t="s">
        <v>85</v>
      </c>
      <c r="C66" s="49" t="s">
        <v>86</v>
      </c>
      <c r="D66" s="49"/>
      <c r="E66" s="19">
        <v>3052</v>
      </c>
      <c r="F66" s="18"/>
      <c r="G66" s="49"/>
      <c r="H66" s="49"/>
      <c r="I66" s="22"/>
    </row>
    <row r="67" spans="2:9" x14ac:dyDescent="0.3">
      <c r="B67" s="48"/>
      <c r="C67" s="49" t="s">
        <v>86</v>
      </c>
      <c r="D67" s="49"/>
      <c r="E67" s="19">
        <v>0</v>
      </c>
      <c r="F67" s="18"/>
      <c r="G67" s="49"/>
      <c r="H67" s="49"/>
      <c r="I67" s="22"/>
    </row>
    <row r="68" spans="2:9" x14ac:dyDescent="0.3">
      <c r="B68" s="48"/>
      <c r="C68" s="49" t="s">
        <v>87</v>
      </c>
      <c r="D68" s="49"/>
      <c r="E68" s="19">
        <v>121477167.735</v>
      </c>
      <c r="F68" s="18"/>
      <c r="G68" s="49"/>
      <c r="H68" s="49"/>
      <c r="I68" s="22"/>
    </row>
    <row r="69" spans="2:9" x14ac:dyDescent="0.3">
      <c r="B69" s="48"/>
      <c r="C69" s="49" t="s">
        <v>88</v>
      </c>
      <c r="D69" s="49"/>
      <c r="E69" s="19">
        <v>75431536.536400005</v>
      </c>
      <c r="F69" s="18"/>
      <c r="G69" s="49"/>
      <c r="H69" s="49"/>
      <c r="I69" s="22"/>
    </row>
    <row r="70" spans="2:9" x14ac:dyDescent="0.3">
      <c r="B70" s="48"/>
      <c r="C70" s="49" t="s">
        <v>89</v>
      </c>
      <c r="D70" s="49"/>
      <c r="E70" s="19">
        <v>37882191.402000003</v>
      </c>
      <c r="F70" s="18"/>
      <c r="G70" s="49"/>
      <c r="H70" s="49"/>
      <c r="I70" s="22"/>
    </row>
    <row r="71" spans="2:9" x14ac:dyDescent="0.3">
      <c r="B71" s="48"/>
      <c r="C71" s="49" t="s">
        <v>90</v>
      </c>
      <c r="D71" s="49"/>
      <c r="E71" s="19">
        <v>11288371.2722</v>
      </c>
      <c r="F71" s="18"/>
      <c r="G71" s="49"/>
      <c r="H71" s="49"/>
      <c r="I71" s="22"/>
    </row>
    <row r="72" spans="2:9" x14ac:dyDescent="0.3">
      <c r="B72" s="48"/>
      <c r="C72" s="49" t="s">
        <v>91</v>
      </c>
      <c r="D72" s="49"/>
      <c r="E72" s="19">
        <v>5837534.1881999997</v>
      </c>
      <c r="F72" s="18"/>
      <c r="G72" s="49"/>
      <c r="H72" s="49"/>
      <c r="I72" s="22"/>
    </row>
    <row r="73" spans="2:9" x14ac:dyDescent="0.3">
      <c r="B73" s="48"/>
      <c r="C73" s="49" t="s">
        <v>92</v>
      </c>
      <c r="D73" s="49"/>
      <c r="E73" s="19">
        <v>561217.65040000004</v>
      </c>
      <c r="F73" s="18"/>
      <c r="G73" s="49"/>
      <c r="H73" s="49"/>
      <c r="I73" s="22"/>
    </row>
    <row r="74" spans="2:9" x14ac:dyDescent="0.3">
      <c r="B74" s="48"/>
      <c r="C74" s="49" t="s">
        <v>93</v>
      </c>
      <c r="D74" s="49"/>
      <c r="E74" s="19">
        <v>417929.98060000001</v>
      </c>
      <c r="F74" s="18"/>
      <c r="G74" s="49"/>
      <c r="H74" s="49"/>
      <c r="I74" s="22"/>
    </row>
    <row r="75" spans="2:9" x14ac:dyDescent="0.3">
      <c r="B75" s="48"/>
      <c r="C75" s="49" t="s">
        <v>94</v>
      </c>
      <c r="D75" s="49"/>
      <c r="E75" s="19">
        <v>93550.044726599997</v>
      </c>
      <c r="F75" s="18"/>
      <c r="G75" s="49"/>
      <c r="H75" s="49"/>
      <c r="I75" s="22"/>
    </row>
    <row r="76" spans="2:9" x14ac:dyDescent="0.3">
      <c r="B76" s="48"/>
      <c r="C76" s="49" t="s">
        <v>94</v>
      </c>
      <c r="D76" s="49"/>
      <c r="E76" s="19">
        <v>63280.819762929998</v>
      </c>
      <c r="F76" s="18"/>
      <c r="G76" s="49"/>
      <c r="H76" s="49"/>
      <c r="I76" s="22"/>
    </row>
    <row r="77" spans="2:9" x14ac:dyDescent="0.3">
      <c r="B77" s="48"/>
      <c r="C77" s="49" t="s">
        <v>95</v>
      </c>
      <c r="D77" s="49"/>
      <c r="E77" s="19">
        <v>46296.136523339999</v>
      </c>
      <c r="F77" s="18"/>
      <c r="G77" s="49"/>
      <c r="H77" s="49"/>
      <c r="I77" s="22"/>
    </row>
    <row r="78" spans="2:9" x14ac:dyDescent="0.3">
      <c r="B78" s="48"/>
      <c r="C78" s="49" t="s">
        <v>96</v>
      </c>
      <c r="D78" s="49"/>
      <c r="E78" s="19">
        <v>69899436.135100007</v>
      </c>
      <c r="F78" s="18"/>
      <c r="G78" s="49"/>
      <c r="H78" s="49"/>
      <c r="I78" s="22"/>
    </row>
    <row r="79" spans="2:9" x14ac:dyDescent="0.3">
      <c r="B79" s="48"/>
      <c r="C79" s="49" t="s">
        <v>97</v>
      </c>
      <c r="D79" s="49"/>
      <c r="E79" s="19">
        <v>57610140</v>
      </c>
      <c r="F79" s="18"/>
      <c r="G79" s="49"/>
      <c r="H79" s="49"/>
      <c r="I79" s="22"/>
    </row>
    <row r="80" spans="2:9" x14ac:dyDescent="0.3">
      <c r="B80" s="48"/>
      <c r="C80" s="49" t="s">
        <v>98</v>
      </c>
      <c r="D80" s="49"/>
      <c r="E80" s="19">
        <v>43513200</v>
      </c>
      <c r="F80" s="18"/>
      <c r="G80" s="49"/>
      <c r="H80" s="49"/>
      <c r="I80" s="22"/>
    </row>
    <row r="81" spans="2:9" x14ac:dyDescent="0.3">
      <c r="B81" s="48"/>
      <c r="C81" s="49" t="s">
        <v>99</v>
      </c>
      <c r="D81" s="49"/>
      <c r="E81" s="19">
        <v>37873940</v>
      </c>
      <c r="F81" s="18"/>
      <c r="G81" s="49"/>
      <c r="H81" s="49"/>
      <c r="I81" s="22"/>
    </row>
    <row r="82" spans="2:9" x14ac:dyDescent="0.3">
      <c r="B82" s="48"/>
      <c r="C82" s="49" t="s">
        <v>100</v>
      </c>
      <c r="D82" s="49"/>
      <c r="E82" s="19">
        <v>27334120</v>
      </c>
      <c r="F82" s="18"/>
      <c r="G82" s="49"/>
      <c r="H82" s="49"/>
      <c r="I82" s="22"/>
    </row>
    <row r="83" spans="2:9" x14ac:dyDescent="0.3">
      <c r="B83" s="48"/>
      <c r="C83" s="49" t="s">
        <v>99</v>
      </c>
      <c r="D83" s="49"/>
      <c r="E83" s="19">
        <v>268125</v>
      </c>
      <c r="F83" s="18"/>
      <c r="G83" s="49"/>
      <c r="H83" s="49"/>
      <c r="I83" s="22"/>
    </row>
    <row r="84" spans="2:9" x14ac:dyDescent="0.3">
      <c r="B84" s="48"/>
      <c r="C84" s="49" t="s">
        <v>101</v>
      </c>
      <c r="D84" s="49"/>
      <c r="E84" s="19">
        <v>14790.004722723999</v>
      </c>
      <c r="F84" s="18"/>
      <c r="G84" s="49"/>
      <c r="H84" s="49"/>
      <c r="I84" s="22"/>
    </row>
    <row r="85" spans="2:9" x14ac:dyDescent="0.3">
      <c r="B85" s="48"/>
      <c r="C85" s="49" t="s">
        <v>102</v>
      </c>
      <c r="D85" s="49"/>
      <c r="E85" s="19">
        <v>17221035</v>
      </c>
      <c r="F85" s="18"/>
      <c r="G85" s="49"/>
      <c r="H85" s="49"/>
      <c r="I85" s="22"/>
    </row>
    <row r="86" spans="2:9" x14ac:dyDescent="0.3">
      <c r="B86" s="48"/>
      <c r="C86" s="49" t="s">
        <v>103</v>
      </c>
      <c r="D86" s="49"/>
      <c r="E86" s="19">
        <v>10416240</v>
      </c>
      <c r="F86" s="18"/>
      <c r="G86" s="49"/>
      <c r="H86" s="49"/>
      <c r="I86" s="22"/>
    </row>
    <row r="87" spans="2:9" x14ac:dyDescent="0.3">
      <c r="B87" s="48"/>
      <c r="C87" s="49" t="s">
        <v>104</v>
      </c>
      <c r="D87" s="49"/>
      <c r="E87" s="19">
        <v>8486140</v>
      </c>
      <c r="F87" s="18"/>
      <c r="G87" s="49"/>
      <c r="H87" s="49"/>
      <c r="I87" s="22"/>
    </row>
    <row r="88" spans="2:9" x14ac:dyDescent="0.3">
      <c r="B88" s="48"/>
      <c r="C88" s="49" t="s">
        <v>105</v>
      </c>
      <c r="D88" s="49"/>
      <c r="E88" s="19">
        <v>7012240</v>
      </c>
      <c r="F88" s="18"/>
      <c r="G88" s="49"/>
      <c r="H88" s="49"/>
      <c r="I88" s="22"/>
    </row>
    <row r="89" spans="2:9" x14ac:dyDescent="0.3">
      <c r="B89" s="48"/>
      <c r="C89" s="49" t="s">
        <v>106</v>
      </c>
      <c r="D89" s="49"/>
      <c r="E89" s="19">
        <v>6217240</v>
      </c>
      <c r="F89" s="18"/>
      <c r="G89" s="49"/>
      <c r="H89" s="49"/>
      <c r="I89" s="22"/>
    </row>
    <row r="90" spans="2:9" x14ac:dyDescent="0.3">
      <c r="B90" s="48"/>
      <c r="C90" s="49" t="s">
        <v>107</v>
      </c>
      <c r="D90" s="49"/>
      <c r="E90" s="19">
        <v>297180</v>
      </c>
      <c r="F90" s="18"/>
      <c r="G90" s="49"/>
      <c r="H90" s="49"/>
      <c r="I90" s="22"/>
    </row>
    <row r="91" spans="2:9" x14ac:dyDescent="0.3">
      <c r="B91" s="48"/>
      <c r="C91" s="49" t="s">
        <v>108</v>
      </c>
      <c r="D91" s="49"/>
      <c r="E91" s="19">
        <v>133896.34386651599</v>
      </c>
      <c r="F91" s="18"/>
      <c r="G91" s="49"/>
      <c r="H91" s="49"/>
      <c r="I91" s="22"/>
    </row>
    <row r="92" spans="2:9" x14ac:dyDescent="0.3">
      <c r="B92" s="48"/>
      <c r="C92" s="49" t="s">
        <v>109</v>
      </c>
      <c r="D92" s="49"/>
      <c r="E92" s="19">
        <v>111520</v>
      </c>
      <c r="F92" s="18"/>
      <c r="G92" s="49"/>
      <c r="H92" s="49"/>
      <c r="I92" s="22"/>
    </row>
    <row r="93" spans="2:9" x14ac:dyDescent="0.3">
      <c r="B93" s="48"/>
      <c r="C93" s="49" t="s">
        <v>110</v>
      </c>
      <c r="D93" s="49"/>
      <c r="E93" s="19">
        <v>18750</v>
      </c>
      <c r="F93" s="18"/>
      <c r="G93" s="49"/>
      <c r="H93" s="49"/>
      <c r="I93" s="22"/>
    </row>
    <row r="94" spans="2:9" x14ac:dyDescent="0.3">
      <c r="B94" s="48"/>
      <c r="C94" s="49" t="s">
        <v>111</v>
      </c>
      <c r="D94" s="49"/>
      <c r="E94" s="19">
        <v>15670</v>
      </c>
      <c r="F94" s="18"/>
      <c r="G94" s="49"/>
      <c r="H94" s="49"/>
      <c r="I94" s="22"/>
    </row>
    <row r="95" spans="2:9" x14ac:dyDescent="0.3">
      <c r="B95" s="48"/>
      <c r="C95" s="49" t="s">
        <v>112</v>
      </c>
      <c r="D95" s="49"/>
      <c r="E95" s="19">
        <v>15643858.34027374</v>
      </c>
      <c r="F95" s="18"/>
      <c r="G95" s="49"/>
      <c r="H95" s="49"/>
      <c r="I95" s="22"/>
    </row>
    <row r="96" spans="2:9" x14ac:dyDescent="0.3">
      <c r="B96" s="48"/>
      <c r="C96" s="49" t="s">
        <v>113</v>
      </c>
      <c r="D96" s="49"/>
      <c r="E96" s="19">
        <v>5294045.5154004879</v>
      </c>
      <c r="F96" s="18"/>
      <c r="G96" s="49"/>
      <c r="H96" s="49"/>
      <c r="I96" s="22"/>
    </row>
    <row r="97" spans="2:9" x14ac:dyDescent="0.3">
      <c r="B97" s="48"/>
      <c r="C97" s="49" t="s">
        <v>114</v>
      </c>
      <c r="D97" s="49"/>
      <c r="E97" s="19">
        <v>2254328.802662191</v>
      </c>
      <c r="F97" s="18"/>
      <c r="G97" s="49"/>
      <c r="H97" s="49"/>
      <c r="I97" s="22"/>
    </row>
    <row r="98" spans="2:9" x14ac:dyDescent="0.3">
      <c r="B98" s="48"/>
      <c r="C98" s="49" t="s">
        <v>115</v>
      </c>
      <c r="D98" s="49"/>
      <c r="E98" s="19">
        <v>611181.22904800496</v>
      </c>
      <c r="F98" s="18"/>
      <c r="G98" s="49"/>
      <c r="H98" s="49"/>
      <c r="I98" s="22"/>
    </row>
    <row r="99" spans="2:9" x14ac:dyDescent="0.3">
      <c r="B99" s="48"/>
      <c r="C99" s="49" t="s">
        <v>116</v>
      </c>
      <c r="D99" s="49"/>
      <c r="E99" s="19">
        <v>13666.9252666793</v>
      </c>
      <c r="F99" s="18"/>
      <c r="G99" s="49"/>
      <c r="H99" s="49"/>
      <c r="I99" s="22"/>
    </row>
    <row r="100" spans="2:9" x14ac:dyDescent="0.3">
      <c r="B100" s="48"/>
      <c r="C100" s="49" t="s">
        <v>117</v>
      </c>
      <c r="D100" s="49"/>
      <c r="E100" s="19">
        <v>2715.6690139391999</v>
      </c>
      <c r="F100" s="18"/>
      <c r="G100" s="49"/>
      <c r="H100" s="49"/>
      <c r="I100" s="22"/>
    </row>
    <row r="101" spans="2:9" x14ac:dyDescent="0.3">
      <c r="B101" s="48"/>
      <c r="C101" s="49" t="s">
        <v>118</v>
      </c>
      <c r="D101" s="49"/>
      <c r="E101" s="19">
        <v>16190730.431700001</v>
      </c>
      <c r="F101" s="18"/>
      <c r="G101" s="49"/>
      <c r="H101" s="49"/>
      <c r="I101" s="22"/>
    </row>
    <row r="102" spans="2:9" x14ac:dyDescent="0.3">
      <c r="B102" s="48"/>
      <c r="C102" s="49" t="s">
        <v>119</v>
      </c>
      <c r="D102" s="49"/>
      <c r="E102" s="19">
        <v>2313850.8139999998</v>
      </c>
      <c r="F102" s="18"/>
      <c r="G102" s="49"/>
      <c r="H102" s="49"/>
      <c r="I102" s="22"/>
    </row>
    <row r="103" spans="2:9" x14ac:dyDescent="0.3">
      <c r="B103" s="48"/>
      <c r="C103" s="49" t="s">
        <v>120</v>
      </c>
      <c r="D103" s="49"/>
      <c r="E103" s="19">
        <v>720646.65142367035</v>
      </c>
      <c r="F103" s="18"/>
      <c r="G103" s="49"/>
      <c r="H103" s="49"/>
      <c r="I103" s="22"/>
    </row>
    <row r="104" spans="2:9" x14ac:dyDescent="0.3">
      <c r="B104" s="48"/>
      <c r="C104" s="49" t="s">
        <v>121</v>
      </c>
      <c r="D104" s="49"/>
      <c r="E104" s="19">
        <v>571713.81793582975</v>
      </c>
      <c r="F104" s="18"/>
      <c r="G104" s="49"/>
      <c r="H104" s="49"/>
      <c r="I104" s="22"/>
    </row>
    <row r="105" spans="2:9" x14ac:dyDescent="0.3">
      <c r="B105" s="48"/>
      <c r="C105" s="49" t="s">
        <v>116</v>
      </c>
      <c r="D105" s="49"/>
      <c r="E105" s="19">
        <v>1440.8025122281999</v>
      </c>
      <c r="F105" s="18"/>
      <c r="G105" s="49"/>
      <c r="H105" s="49"/>
      <c r="I105" s="22"/>
    </row>
    <row r="106" spans="2:9" x14ac:dyDescent="0.3">
      <c r="B106" s="48"/>
      <c r="C106" s="49" t="s">
        <v>122</v>
      </c>
      <c r="D106" s="49"/>
      <c r="E106" s="19">
        <v>911.30136074999996</v>
      </c>
      <c r="F106" s="18"/>
      <c r="G106" s="49"/>
      <c r="H106" s="49"/>
      <c r="I106" s="22"/>
    </row>
    <row r="107" spans="2:9" x14ac:dyDescent="0.3">
      <c r="B107" s="48"/>
      <c r="C107" s="49" t="s">
        <v>123</v>
      </c>
      <c r="D107" s="49"/>
      <c r="E107" s="19">
        <v>2803.0109308740002</v>
      </c>
      <c r="F107" s="18"/>
      <c r="G107" s="49"/>
      <c r="H107" s="49"/>
      <c r="I107" s="22"/>
    </row>
    <row r="108" spans="2:9" x14ac:dyDescent="0.3">
      <c r="B108" s="48"/>
      <c r="C108" s="49" t="s">
        <v>124</v>
      </c>
      <c r="D108" s="49"/>
      <c r="E108" s="19">
        <v>0</v>
      </c>
      <c r="F108" s="18"/>
      <c r="G108" s="49"/>
      <c r="H108" s="49"/>
      <c r="I108" s="22"/>
    </row>
    <row r="109" spans="2:9" x14ac:dyDescent="0.3">
      <c r="B109" s="48"/>
      <c r="C109" s="49" t="s">
        <v>125</v>
      </c>
      <c r="D109" s="49"/>
      <c r="E109" s="19">
        <v>27869</v>
      </c>
      <c r="F109" s="18"/>
      <c r="G109" s="49"/>
      <c r="H109" s="49"/>
      <c r="I109" s="22"/>
    </row>
    <row r="110" spans="2:9" x14ac:dyDescent="0.3">
      <c r="B110" s="48"/>
      <c r="C110" s="49" t="s">
        <v>126</v>
      </c>
      <c r="D110" s="49"/>
      <c r="E110" s="19">
        <v>0</v>
      </c>
      <c r="F110" s="18"/>
      <c r="G110" s="49"/>
      <c r="H110" s="49"/>
      <c r="I110" s="22"/>
    </row>
    <row r="111" spans="2:9" x14ac:dyDescent="0.3">
      <c r="B111" s="48"/>
      <c r="C111" s="49" t="s">
        <v>127</v>
      </c>
      <c r="D111" s="49"/>
      <c r="E111" s="19">
        <v>1641510</v>
      </c>
      <c r="F111" s="18"/>
      <c r="G111" s="49"/>
      <c r="H111" s="49"/>
      <c r="I111" s="22"/>
    </row>
    <row r="112" spans="2:9" x14ac:dyDescent="0.3">
      <c r="B112" s="48"/>
      <c r="C112" s="49" t="s">
        <v>128</v>
      </c>
      <c r="D112" s="49"/>
      <c r="E112" s="19">
        <v>3408663</v>
      </c>
      <c r="F112" s="18"/>
      <c r="G112" s="49"/>
      <c r="H112" s="49"/>
      <c r="I112" s="22"/>
    </row>
    <row r="113" spans="2:9" x14ac:dyDescent="0.3">
      <c r="B113" s="48"/>
      <c r="C113" s="49" t="s">
        <v>129</v>
      </c>
      <c r="D113" s="49"/>
      <c r="E113" s="19">
        <v>0</v>
      </c>
      <c r="F113" s="18"/>
      <c r="G113" s="49"/>
      <c r="H113" s="49"/>
      <c r="I113" s="22"/>
    </row>
    <row r="114" spans="2:9" x14ac:dyDescent="0.3">
      <c r="B114" s="48"/>
      <c r="C114" s="49" t="s">
        <v>130</v>
      </c>
      <c r="D114" s="49"/>
      <c r="E114" s="19">
        <v>0</v>
      </c>
      <c r="F114" s="18"/>
      <c r="G114" s="49"/>
      <c r="H114" s="49"/>
      <c r="I114" s="22"/>
    </row>
    <row r="115" spans="2:9" x14ac:dyDescent="0.3">
      <c r="B115" s="48"/>
      <c r="C115" s="49" t="s">
        <v>131</v>
      </c>
      <c r="D115" s="49"/>
      <c r="E115" s="19">
        <v>0</v>
      </c>
      <c r="F115" s="18"/>
      <c r="G115" s="49"/>
      <c r="H115" s="49"/>
      <c r="I115" s="22"/>
    </row>
    <row r="116" spans="2:9" x14ac:dyDescent="0.3">
      <c r="B116" s="48"/>
      <c r="C116" s="49" t="s">
        <v>132</v>
      </c>
      <c r="D116" s="49"/>
      <c r="E116" s="19">
        <v>409820</v>
      </c>
      <c r="F116" s="18"/>
      <c r="G116" s="49"/>
      <c r="H116" s="49"/>
      <c r="I116" s="22"/>
    </row>
    <row r="117" spans="2:9" x14ac:dyDescent="0.3">
      <c r="B117" s="48"/>
      <c r="C117" s="49" t="s">
        <v>132</v>
      </c>
      <c r="D117" s="49"/>
      <c r="E117" s="19">
        <v>5188334</v>
      </c>
      <c r="F117" s="18"/>
      <c r="G117" s="49"/>
      <c r="H117" s="49"/>
      <c r="I117" s="22"/>
    </row>
    <row r="118" spans="2:9" x14ac:dyDescent="0.3">
      <c r="B118" s="48"/>
      <c r="C118" s="49" t="s">
        <v>133</v>
      </c>
      <c r="D118" s="49"/>
      <c r="E118" s="19">
        <v>1405171</v>
      </c>
      <c r="F118" s="18"/>
      <c r="G118" s="49"/>
      <c r="H118" s="49"/>
      <c r="I118" s="22"/>
    </row>
    <row r="119" spans="2:9" x14ac:dyDescent="0.3">
      <c r="B119" s="48"/>
      <c r="C119" s="49" t="s">
        <v>134</v>
      </c>
      <c r="D119" s="49"/>
      <c r="E119" s="19">
        <v>0</v>
      </c>
      <c r="F119" s="18"/>
      <c r="G119" s="49"/>
      <c r="H119" s="49"/>
      <c r="I119" s="22"/>
    </row>
    <row r="120" spans="2:9" x14ac:dyDescent="0.3">
      <c r="B120" s="48"/>
      <c r="C120" s="49" t="s">
        <v>135</v>
      </c>
      <c r="D120" s="49"/>
      <c r="E120" s="19">
        <v>5081</v>
      </c>
      <c r="F120" s="18"/>
      <c r="G120" s="49"/>
      <c r="H120" s="49"/>
      <c r="I120" s="22"/>
    </row>
    <row r="121" spans="2:9" x14ac:dyDescent="0.3">
      <c r="B121" s="48"/>
      <c r="C121" s="49" t="s">
        <v>136</v>
      </c>
      <c r="D121" s="49"/>
      <c r="E121" s="19">
        <v>0</v>
      </c>
      <c r="F121" s="18"/>
      <c r="G121" s="49"/>
      <c r="H121" s="49"/>
      <c r="I121" s="22"/>
    </row>
    <row r="122" spans="2:9" x14ac:dyDescent="0.3">
      <c r="B122" s="48"/>
      <c r="C122" s="49" t="s">
        <v>137</v>
      </c>
      <c r="D122" s="49"/>
      <c r="E122" s="19">
        <v>7216</v>
      </c>
      <c r="F122" s="18"/>
      <c r="G122" s="49"/>
      <c r="H122" s="49"/>
      <c r="I122" s="22"/>
    </row>
    <row r="123" spans="2:9" x14ac:dyDescent="0.3">
      <c r="B123" s="48"/>
      <c r="C123" s="49" t="s">
        <v>138</v>
      </c>
      <c r="D123" s="49"/>
      <c r="E123" s="19">
        <v>26654.459500000001</v>
      </c>
      <c r="F123" s="18"/>
      <c r="G123" s="49"/>
      <c r="H123" s="49"/>
      <c r="I123" s="22"/>
    </row>
    <row r="124" spans="2:9" x14ac:dyDescent="0.3">
      <c r="B124" s="48"/>
      <c r="C124" s="49" t="s">
        <v>139</v>
      </c>
      <c r="D124" s="49"/>
      <c r="E124" s="19">
        <v>3454</v>
      </c>
      <c r="F124" s="18"/>
      <c r="G124" s="49"/>
      <c r="H124" s="49"/>
      <c r="I124" s="22"/>
    </row>
    <row r="125" spans="2:9" x14ac:dyDescent="0.3">
      <c r="B125" s="48"/>
      <c r="C125" s="49" t="s">
        <v>140</v>
      </c>
      <c r="D125" s="49"/>
      <c r="E125" s="19">
        <v>11110.566210000001</v>
      </c>
      <c r="F125" s="18"/>
      <c r="G125" s="49"/>
      <c r="H125" s="49"/>
      <c r="I125" s="22"/>
    </row>
    <row r="126" spans="2:9" x14ac:dyDescent="0.3">
      <c r="B126" s="48"/>
      <c r="C126" s="49" t="s">
        <v>141</v>
      </c>
      <c r="D126" s="49"/>
      <c r="E126" s="19">
        <v>43293.867299999998</v>
      </c>
      <c r="F126" s="18"/>
      <c r="G126" s="49"/>
      <c r="H126" s="49"/>
      <c r="I126" s="22"/>
    </row>
    <row r="127" spans="2:9" x14ac:dyDescent="0.3">
      <c r="B127" s="48"/>
      <c r="C127" s="49" t="s">
        <v>142</v>
      </c>
      <c r="D127" s="49"/>
      <c r="E127" s="19">
        <v>24242553.1107</v>
      </c>
      <c r="F127" s="18"/>
      <c r="G127" s="49"/>
      <c r="H127" s="49"/>
      <c r="I127" s="22"/>
    </row>
    <row r="128" spans="2:9" x14ac:dyDescent="0.3">
      <c r="B128" s="48"/>
      <c r="C128" s="49" t="s">
        <v>143</v>
      </c>
      <c r="D128" s="49"/>
      <c r="E128" s="19">
        <v>1657310.7907</v>
      </c>
      <c r="F128" s="18"/>
      <c r="G128" s="49"/>
      <c r="H128" s="49"/>
      <c r="I128" s="22"/>
    </row>
    <row r="129" spans="2:9" x14ac:dyDescent="0.3">
      <c r="B129" s="48"/>
      <c r="C129" s="49" t="s">
        <v>144</v>
      </c>
      <c r="D129" s="49"/>
      <c r="E129" s="19">
        <v>1751108.6917000001</v>
      </c>
      <c r="F129" s="18"/>
      <c r="G129" s="49"/>
      <c r="H129" s="49"/>
      <c r="I129" s="22"/>
    </row>
    <row r="130" spans="2:9" x14ac:dyDescent="0.3">
      <c r="B130" s="48"/>
      <c r="C130" s="49" t="s">
        <v>145</v>
      </c>
      <c r="D130" s="49"/>
      <c r="E130" s="19">
        <v>9399012.3469999991</v>
      </c>
      <c r="F130" s="18"/>
      <c r="G130" s="49"/>
      <c r="H130" s="49"/>
      <c r="I130" s="22"/>
    </row>
    <row r="131" spans="2:9" x14ac:dyDescent="0.3">
      <c r="B131" s="48"/>
      <c r="C131" s="49" t="s">
        <v>146</v>
      </c>
      <c r="D131" s="49"/>
      <c r="E131" s="19">
        <v>10</v>
      </c>
      <c r="F131" s="18"/>
      <c r="G131" s="49"/>
      <c r="H131" s="49"/>
      <c r="I131" s="22"/>
    </row>
    <row r="132" spans="2:9" x14ac:dyDescent="0.3">
      <c r="B132" s="17" t="s">
        <v>147</v>
      </c>
      <c r="C132" s="49"/>
      <c r="D132" s="49"/>
      <c r="E132" s="19"/>
      <c r="F132" s="18"/>
      <c r="G132" s="49"/>
      <c r="H132" s="49"/>
      <c r="I132" s="22"/>
    </row>
    <row r="133" spans="2:9" x14ac:dyDescent="0.3">
      <c r="B133" s="17" t="s">
        <v>148</v>
      </c>
      <c r="C133" s="49"/>
      <c r="D133" s="49"/>
      <c r="E133" s="19"/>
      <c r="F133" s="18"/>
      <c r="G133" s="49"/>
      <c r="H133" s="49"/>
      <c r="I133" s="22"/>
    </row>
    <row r="134" spans="2:9" x14ac:dyDescent="0.3">
      <c r="B134" s="17" t="s">
        <v>149</v>
      </c>
      <c r="C134" s="49"/>
      <c r="D134" s="49"/>
      <c r="E134" s="19"/>
      <c r="F134" s="18"/>
      <c r="G134" s="49"/>
      <c r="H134" s="49"/>
      <c r="I134" s="22"/>
    </row>
    <row r="135" spans="2:9" x14ac:dyDescent="0.3">
      <c r="B135" s="17" t="s">
        <v>150</v>
      </c>
      <c r="C135" s="49"/>
      <c r="D135" s="49"/>
      <c r="E135" s="19"/>
      <c r="F135" s="18"/>
      <c r="G135" s="49"/>
      <c r="H135" s="49"/>
      <c r="I135" s="22"/>
    </row>
    <row r="136" spans="2:9" x14ac:dyDescent="0.3">
      <c r="B136" s="48" t="s">
        <v>151</v>
      </c>
      <c r="C136" s="49" t="s">
        <v>152</v>
      </c>
      <c r="D136" s="49"/>
      <c r="E136" s="19">
        <v>0</v>
      </c>
      <c r="F136" s="18"/>
      <c r="G136" s="49"/>
      <c r="H136" s="49"/>
      <c r="I136" s="22"/>
    </row>
    <row r="137" spans="2:9" x14ac:dyDescent="0.3">
      <c r="B137" s="48"/>
      <c r="C137" s="49" t="s">
        <v>153</v>
      </c>
      <c r="D137" s="49"/>
      <c r="E137" s="19">
        <v>0</v>
      </c>
      <c r="F137" s="18"/>
      <c r="G137" s="49"/>
      <c r="H137" s="49"/>
      <c r="I137" s="22"/>
    </row>
    <row r="138" spans="2:9" x14ac:dyDescent="0.3">
      <c r="B138" s="48"/>
      <c r="C138" s="49" t="s">
        <v>154</v>
      </c>
      <c r="D138" s="49"/>
      <c r="E138" s="19">
        <v>1</v>
      </c>
      <c r="F138" s="18"/>
      <c r="G138" s="49"/>
      <c r="H138" s="49"/>
      <c r="I138" s="22"/>
    </row>
    <row r="139" spans="2:9" x14ac:dyDescent="0.3">
      <c r="B139" s="48"/>
      <c r="C139" s="49" t="s">
        <v>154</v>
      </c>
      <c r="D139" s="49"/>
      <c r="E139" s="19">
        <v>300000</v>
      </c>
      <c r="F139" s="18"/>
      <c r="G139" s="49"/>
      <c r="H139" s="49"/>
      <c r="I139" s="22"/>
    </row>
    <row r="140" spans="2:9" x14ac:dyDescent="0.3">
      <c r="B140" s="48"/>
      <c r="C140" s="49" t="s">
        <v>155</v>
      </c>
      <c r="D140" s="49"/>
      <c r="E140" s="19">
        <v>0</v>
      </c>
      <c r="F140" s="18"/>
      <c r="G140" s="49"/>
      <c r="H140" s="49"/>
      <c r="I140" s="22"/>
    </row>
    <row r="141" spans="2:9" x14ac:dyDescent="0.3">
      <c r="B141" s="48"/>
      <c r="C141" s="49" t="s">
        <v>156</v>
      </c>
      <c r="D141" s="49"/>
      <c r="E141" s="19">
        <v>0</v>
      </c>
      <c r="F141" s="18"/>
      <c r="G141" s="49"/>
      <c r="H141" s="49"/>
      <c r="I141" s="22"/>
    </row>
    <row r="142" spans="2:9" x14ac:dyDescent="0.3">
      <c r="B142" s="48"/>
      <c r="C142" s="49" t="s">
        <v>157</v>
      </c>
      <c r="D142" s="49"/>
      <c r="E142" s="19">
        <v>731604</v>
      </c>
      <c r="F142" s="18"/>
      <c r="G142" s="49"/>
      <c r="H142" s="49"/>
      <c r="I142" s="22"/>
    </row>
    <row r="143" spans="2:9" x14ac:dyDescent="0.3">
      <c r="B143" s="50" t="s">
        <v>159</v>
      </c>
      <c r="C143" s="50"/>
      <c r="D143" s="50"/>
      <c r="E143" s="23">
        <f>SUM(E38:E142)</f>
        <v>653073161.39414036</v>
      </c>
      <c r="F143" s="51" t="s">
        <v>160</v>
      </c>
      <c r="G143" s="51"/>
      <c r="H143" s="51"/>
      <c r="I143" s="24">
        <f>SUM(I38:I142)</f>
        <v>0</v>
      </c>
    </row>
    <row r="144" spans="2:9" x14ac:dyDescent="0.3">
      <c r="B144" s="52" t="s">
        <v>161</v>
      </c>
      <c r="C144" s="52"/>
      <c r="D144" s="52"/>
      <c r="E144" s="52"/>
      <c r="F144" s="52"/>
      <c r="G144" s="52"/>
      <c r="H144" s="52"/>
      <c r="I144" s="52"/>
    </row>
    <row r="145" spans="2:10" x14ac:dyDescent="0.3">
      <c r="B145" s="53">
        <f>E143-I143</f>
        <v>653073161.39414036</v>
      </c>
      <c r="C145" s="53"/>
      <c r="D145" s="53"/>
      <c r="E145" s="53"/>
      <c r="F145" s="53"/>
      <c r="G145" s="53"/>
      <c r="H145" s="53"/>
      <c r="I145" s="53"/>
    </row>
    <row r="148" spans="2:10" ht="20.25" x14ac:dyDescent="0.3">
      <c r="B148" s="1" t="s">
        <v>162</v>
      </c>
    </row>
    <row r="149" spans="2:10" x14ac:dyDescent="0.3">
      <c r="B149" t="s">
        <v>163</v>
      </c>
    </row>
    <row r="150" spans="2:10" x14ac:dyDescent="0.3">
      <c r="B150" s="25" t="s">
        <v>164</v>
      </c>
      <c r="C150" s="54" t="s">
        <v>165</v>
      </c>
      <c r="D150" s="54"/>
      <c r="E150" s="26" t="s">
        <v>166</v>
      </c>
      <c r="F150" s="26" t="s">
        <v>167</v>
      </c>
      <c r="G150" s="26" t="s">
        <v>168</v>
      </c>
      <c r="H150" s="26" t="s">
        <v>169</v>
      </c>
    </row>
    <row r="151" spans="2:10" x14ac:dyDescent="0.3">
      <c r="B151" s="27"/>
      <c r="C151" s="55"/>
      <c r="D151" s="55"/>
      <c r="E151" s="28"/>
      <c r="F151" s="28"/>
      <c r="G151" s="28"/>
      <c r="H151" s="28"/>
    </row>
    <row r="152" spans="2:10" x14ac:dyDescent="0.3">
      <c r="B152" s="56" t="s">
        <v>13</v>
      </c>
      <c r="C152" s="57" t="s">
        <v>170</v>
      </c>
      <c r="D152" s="57"/>
      <c r="E152" s="29" t="s">
        <v>171</v>
      </c>
      <c r="F152" s="29" t="s">
        <v>172</v>
      </c>
      <c r="G152" s="29"/>
      <c r="H152" s="30"/>
    </row>
    <row r="153" spans="2:10" x14ac:dyDescent="0.3">
      <c r="B153" s="56"/>
      <c r="C153" s="58" t="s">
        <v>173</v>
      </c>
      <c r="D153" s="58"/>
      <c r="E153" s="31" t="s">
        <v>174</v>
      </c>
      <c r="F153" s="32">
        <f>SUM(F151)</f>
        <v>0</v>
      </c>
      <c r="G153" s="31"/>
      <c r="H153" s="33"/>
    </row>
    <row r="155" spans="2:10" ht="20.25" x14ac:dyDescent="0.3">
      <c r="B155" s="1" t="s">
        <v>175</v>
      </c>
    </row>
    <row r="156" spans="2:10" x14ac:dyDescent="0.3">
      <c r="B156" t="s">
        <v>176</v>
      </c>
    </row>
    <row r="157" spans="2:10" x14ac:dyDescent="0.3">
      <c r="B157" s="25" t="s">
        <v>177</v>
      </c>
      <c r="C157" s="26" t="s">
        <v>164</v>
      </c>
      <c r="D157" s="54" t="s">
        <v>52</v>
      </c>
      <c r="E157" s="54"/>
      <c r="F157" s="26" t="s">
        <v>178</v>
      </c>
      <c r="G157" s="26" t="s">
        <v>179</v>
      </c>
      <c r="H157" s="26" t="s">
        <v>180</v>
      </c>
      <c r="I157" s="26" t="s">
        <v>181</v>
      </c>
      <c r="J157" s="26" t="s">
        <v>169</v>
      </c>
    </row>
    <row r="158" spans="2:10" x14ac:dyDescent="0.3">
      <c r="B158" s="27" t="s">
        <v>182</v>
      </c>
      <c r="C158" s="28" t="s">
        <v>183</v>
      </c>
      <c r="D158" s="55" t="s">
        <v>86</v>
      </c>
      <c r="E158" s="55"/>
      <c r="F158" s="34">
        <v>0</v>
      </c>
      <c r="G158" s="34">
        <v>3052</v>
      </c>
      <c r="H158" s="35"/>
      <c r="I158" s="36"/>
      <c r="J158" s="36"/>
    </row>
    <row r="159" spans="2:10" x14ac:dyDescent="0.3">
      <c r="B159" s="27" t="s">
        <v>182</v>
      </c>
      <c r="C159" s="28" t="s">
        <v>184</v>
      </c>
      <c r="D159" s="55" t="s">
        <v>86</v>
      </c>
      <c r="E159" s="55"/>
      <c r="F159" s="34">
        <v>0</v>
      </c>
      <c r="G159" s="34">
        <v>0</v>
      </c>
      <c r="H159" s="35"/>
      <c r="I159" s="36">
        <v>45626</v>
      </c>
      <c r="J159" s="36"/>
    </row>
    <row r="160" spans="2:10" x14ac:dyDescent="0.3">
      <c r="B160" s="27" t="s">
        <v>185</v>
      </c>
      <c r="C160" s="28" t="s">
        <v>186</v>
      </c>
      <c r="D160" s="55" t="s">
        <v>87</v>
      </c>
      <c r="E160" s="55"/>
      <c r="F160" s="34">
        <v>41068264</v>
      </c>
      <c r="G160" s="34">
        <v>121477167.735</v>
      </c>
      <c r="H160" s="35">
        <v>195.7932863561021</v>
      </c>
      <c r="I160" s="36"/>
      <c r="J160" s="36"/>
    </row>
    <row r="161" spans="2:10" x14ac:dyDescent="0.3">
      <c r="B161" s="27" t="s">
        <v>185</v>
      </c>
      <c r="C161" s="28" t="s">
        <v>186</v>
      </c>
      <c r="D161" s="55" t="s">
        <v>88</v>
      </c>
      <c r="E161" s="55"/>
      <c r="F161" s="34">
        <v>30226203</v>
      </c>
      <c r="G161" s="34">
        <v>75431536.536400005</v>
      </c>
      <c r="H161" s="35">
        <v>149.55677210399199</v>
      </c>
      <c r="I161" s="36"/>
      <c r="J161" s="36"/>
    </row>
    <row r="162" spans="2:10" x14ac:dyDescent="0.3">
      <c r="B162" s="27" t="s">
        <v>185</v>
      </c>
      <c r="C162" s="28" t="s">
        <v>186</v>
      </c>
      <c r="D162" s="55" t="s">
        <v>89</v>
      </c>
      <c r="E162" s="55"/>
      <c r="F162" s="34">
        <v>12651780</v>
      </c>
      <c r="G162" s="34">
        <v>37882191.402000003</v>
      </c>
      <c r="H162" s="35">
        <v>199.4218315683643</v>
      </c>
      <c r="I162" s="36"/>
      <c r="J162" s="36"/>
    </row>
    <row r="163" spans="2:10" x14ac:dyDescent="0.3">
      <c r="B163" s="27" t="s">
        <v>185</v>
      </c>
      <c r="C163" s="28" t="s">
        <v>186</v>
      </c>
      <c r="D163" s="55" t="s">
        <v>90</v>
      </c>
      <c r="E163" s="55"/>
      <c r="F163" s="34">
        <v>9563448</v>
      </c>
      <c r="G163" s="34">
        <v>11288371.2722</v>
      </c>
      <c r="H163" s="35">
        <v>18.036625202542009</v>
      </c>
      <c r="I163" s="36"/>
      <c r="J163" s="36"/>
    </row>
    <row r="164" spans="2:10" x14ac:dyDescent="0.3">
      <c r="B164" s="27" t="s">
        <v>185</v>
      </c>
      <c r="C164" s="28" t="s">
        <v>186</v>
      </c>
      <c r="D164" s="55" t="s">
        <v>91</v>
      </c>
      <c r="E164" s="55"/>
      <c r="F164" s="34">
        <v>3834089</v>
      </c>
      <c r="G164" s="34">
        <v>5837534.1881999997</v>
      </c>
      <c r="H164" s="35">
        <v>52.253486765695833</v>
      </c>
      <c r="I164" s="36"/>
      <c r="J164" s="36"/>
    </row>
    <row r="165" spans="2:10" x14ac:dyDescent="0.3">
      <c r="B165" s="27" t="s">
        <v>185</v>
      </c>
      <c r="C165" s="28" t="s">
        <v>186</v>
      </c>
      <c r="D165" s="55" t="s">
        <v>92</v>
      </c>
      <c r="E165" s="55"/>
      <c r="F165" s="34">
        <v>263348</v>
      </c>
      <c r="G165" s="34">
        <v>561217.65040000004</v>
      </c>
      <c r="H165" s="35">
        <v>113.1087573856646</v>
      </c>
      <c r="I165" s="36"/>
      <c r="J165" s="36"/>
    </row>
    <row r="166" spans="2:10" x14ac:dyDescent="0.3">
      <c r="B166" s="27" t="s">
        <v>185</v>
      </c>
      <c r="C166" s="28" t="s">
        <v>186</v>
      </c>
      <c r="D166" s="55" t="s">
        <v>93</v>
      </c>
      <c r="E166" s="55"/>
      <c r="F166" s="34">
        <v>177792</v>
      </c>
      <c r="G166" s="34">
        <v>417929.98060000001</v>
      </c>
      <c r="H166" s="35">
        <v>135.06680874280059</v>
      </c>
      <c r="I166" s="36"/>
      <c r="J166" s="36"/>
    </row>
    <row r="167" spans="2:10" x14ac:dyDescent="0.3">
      <c r="B167" s="27" t="s">
        <v>185</v>
      </c>
      <c r="C167" s="28" t="s">
        <v>186</v>
      </c>
      <c r="D167" s="55" t="s">
        <v>94</v>
      </c>
      <c r="E167" s="55"/>
      <c r="F167" s="34">
        <v>82110</v>
      </c>
      <c r="G167" s="34">
        <v>93550.044726599997</v>
      </c>
      <c r="H167" s="35">
        <v>13.932584005115091</v>
      </c>
      <c r="I167" s="36"/>
      <c r="J167" s="36"/>
    </row>
    <row r="168" spans="2:10" x14ac:dyDescent="0.3">
      <c r="B168" s="27" t="s">
        <v>185</v>
      </c>
      <c r="C168" s="28" t="s">
        <v>186</v>
      </c>
      <c r="D168" s="55" t="s">
        <v>94</v>
      </c>
      <c r="E168" s="55"/>
      <c r="F168" s="34">
        <v>52149</v>
      </c>
      <c r="G168" s="34">
        <v>63280.819762929998</v>
      </c>
      <c r="H168" s="35">
        <v>21.34618068022397</v>
      </c>
      <c r="I168" s="36"/>
      <c r="J168" s="36"/>
    </row>
    <row r="169" spans="2:10" x14ac:dyDescent="0.3">
      <c r="B169" s="27" t="s">
        <v>185</v>
      </c>
      <c r="C169" s="28" t="s">
        <v>186</v>
      </c>
      <c r="D169" s="55" t="s">
        <v>95</v>
      </c>
      <c r="E169" s="55"/>
      <c r="F169" s="34">
        <v>29961</v>
      </c>
      <c r="G169" s="34">
        <v>46296.136523339999</v>
      </c>
      <c r="H169" s="35">
        <v>54.521332810453593</v>
      </c>
      <c r="I169" s="36"/>
      <c r="J169" s="36"/>
    </row>
    <row r="170" spans="2:10" x14ac:dyDescent="0.3">
      <c r="B170" s="27" t="s">
        <v>185</v>
      </c>
      <c r="C170" s="28" t="s">
        <v>187</v>
      </c>
      <c r="D170" s="55" t="s">
        <v>96</v>
      </c>
      <c r="E170" s="55"/>
      <c r="F170" s="34">
        <v>70257757</v>
      </c>
      <c r="G170" s="34">
        <v>69899436.135100007</v>
      </c>
      <c r="H170" s="35">
        <v>-0.51000897295937431</v>
      </c>
      <c r="I170" s="36"/>
      <c r="J170" s="36"/>
    </row>
    <row r="171" spans="2:10" x14ac:dyDescent="0.3">
      <c r="B171" s="27" t="s">
        <v>185</v>
      </c>
      <c r="C171" s="28" t="s">
        <v>188</v>
      </c>
      <c r="D171" s="55" t="s">
        <v>97</v>
      </c>
      <c r="E171" s="55"/>
      <c r="F171" s="34">
        <v>47076723</v>
      </c>
      <c r="G171" s="34">
        <v>57610140</v>
      </c>
      <c r="H171" s="35">
        <v>22.375000485908931</v>
      </c>
      <c r="I171" s="36"/>
      <c r="J171" s="36"/>
    </row>
    <row r="172" spans="2:10" x14ac:dyDescent="0.3">
      <c r="B172" s="27" t="s">
        <v>185</v>
      </c>
      <c r="C172" s="28" t="s">
        <v>188</v>
      </c>
      <c r="D172" s="55" t="s">
        <v>98</v>
      </c>
      <c r="E172" s="55"/>
      <c r="F172" s="34">
        <v>42595028</v>
      </c>
      <c r="G172" s="34">
        <v>43513200</v>
      </c>
      <c r="H172" s="35">
        <v>2.1555849194417709</v>
      </c>
      <c r="I172" s="36"/>
      <c r="J172" s="36"/>
    </row>
    <row r="173" spans="2:10" x14ac:dyDescent="0.3">
      <c r="B173" s="27" t="s">
        <v>185</v>
      </c>
      <c r="C173" s="28" t="s">
        <v>188</v>
      </c>
      <c r="D173" s="55" t="s">
        <v>99</v>
      </c>
      <c r="E173" s="55"/>
      <c r="F173" s="34">
        <v>25591074</v>
      </c>
      <c r="G173" s="34">
        <v>37873940</v>
      </c>
      <c r="H173" s="35">
        <v>47.996680405050597</v>
      </c>
      <c r="I173" s="36"/>
      <c r="J173" s="36"/>
    </row>
    <row r="174" spans="2:10" x14ac:dyDescent="0.3">
      <c r="B174" s="27" t="s">
        <v>185</v>
      </c>
      <c r="C174" s="28" t="s">
        <v>188</v>
      </c>
      <c r="D174" s="55" t="s">
        <v>100</v>
      </c>
      <c r="E174" s="55"/>
      <c r="F174" s="34">
        <v>22758924</v>
      </c>
      <c r="G174" s="34">
        <v>27334120</v>
      </c>
      <c r="H174" s="35">
        <v>20.102866023015849</v>
      </c>
      <c r="I174" s="36"/>
      <c r="J174" s="36"/>
    </row>
    <row r="175" spans="2:10" x14ac:dyDescent="0.3">
      <c r="B175" s="27" t="s">
        <v>185</v>
      </c>
      <c r="C175" s="28" t="s">
        <v>188</v>
      </c>
      <c r="D175" s="55" t="s">
        <v>99</v>
      </c>
      <c r="E175" s="55"/>
      <c r="F175" s="34">
        <v>209220</v>
      </c>
      <c r="G175" s="34">
        <v>268125</v>
      </c>
      <c r="H175" s="35">
        <v>28.154574132492119</v>
      </c>
      <c r="I175" s="36"/>
      <c r="J175" s="36"/>
    </row>
    <row r="176" spans="2:10" x14ac:dyDescent="0.3">
      <c r="B176" s="27" t="s">
        <v>185</v>
      </c>
      <c r="C176" s="28" t="s">
        <v>188</v>
      </c>
      <c r="D176" s="55" t="s">
        <v>101</v>
      </c>
      <c r="E176" s="55"/>
      <c r="F176" s="34">
        <v>7476</v>
      </c>
      <c r="G176" s="34">
        <v>14790.004722723999</v>
      </c>
      <c r="H176" s="35">
        <v>97.833128982397</v>
      </c>
      <c r="I176" s="36"/>
      <c r="J176" s="36"/>
    </row>
    <row r="177" spans="2:10" x14ac:dyDescent="0.3">
      <c r="B177" s="27" t="s">
        <v>185</v>
      </c>
      <c r="C177" s="28" t="s">
        <v>189</v>
      </c>
      <c r="D177" s="55" t="s">
        <v>102</v>
      </c>
      <c r="E177" s="55"/>
      <c r="F177" s="34">
        <v>14172099</v>
      </c>
      <c r="G177" s="34">
        <v>17221035</v>
      </c>
      <c r="H177" s="35">
        <v>21.513651576947069</v>
      </c>
      <c r="I177" s="36"/>
      <c r="J177" s="36"/>
    </row>
    <row r="178" spans="2:10" x14ac:dyDescent="0.3">
      <c r="B178" s="27" t="s">
        <v>185</v>
      </c>
      <c r="C178" s="28" t="s">
        <v>189</v>
      </c>
      <c r="D178" s="55" t="s">
        <v>103</v>
      </c>
      <c r="E178" s="55"/>
      <c r="F178" s="34">
        <v>8613004</v>
      </c>
      <c r="G178" s="34">
        <v>10416240</v>
      </c>
      <c r="H178" s="35">
        <v>20.93620297865878</v>
      </c>
      <c r="I178" s="36"/>
      <c r="J178" s="36"/>
    </row>
    <row r="179" spans="2:10" x14ac:dyDescent="0.3">
      <c r="B179" s="27" t="s">
        <v>185</v>
      </c>
      <c r="C179" s="28" t="s">
        <v>189</v>
      </c>
      <c r="D179" s="55" t="s">
        <v>104</v>
      </c>
      <c r="E179" s="55"/>
      <c r="F179" s="34">
        <v>5620374</v>
      </c>
      <c r="G179" s="34">
        <v>8486140</v>
      </c>
      <c r="H179" s="35">
        <v>50.988884369616677</v>
      </c>
      <c r="I179" s="36"/>
      <c r="J179" s="36"/>
    </row>
    <row r="180" spans="2:10" x14ac:dyDescent="0.3">
      <c r="B180" s="27" t="s">
        <v>185</v>
      </c>
      <c r="C180" s="28" t="s">
        <v>189</v>
      </c>
      <c r="D180" s="55" t="s">
        <v>105</v>
      </c>
      <c r="E180" s="55"/>
      <c r="F180" s="34">
        <v>6042329</v>
      </c>
      <c r="G180" s="34">
        <v>7012240</v>
      </c>
      <c r="H180" s="35">
        <v>16.051939574955291</v>
      </c>
      <c r="I180" s="36"/>
      <c r="J180" s="36"/>
    </row>
    <row r="181" spans="2:10" x14ac:dyDescent="0.3">
      <c r="B181" s="27" t="s">
        <v>185</v>
      </c>
      <c r="C181" s="28" t="s">
        <v>189</v>
      </c>
      <c r="D181" s="55" t="s">
        <v>106</v>
      </c>
      <c r="E181" s="55"/>
      <c r="F181" s="34">
        <v>5747001</v>
      </c>
      <c r="G181" s="34">
        <v>6217240</v>
      </c>
      <c r="H181" s="35">
        <v>8.1823371876914592</v>
      </c>
      <c r="I181" s="36"/>
      <c r="J181" s="36"/>
    </row>
    <row r="182" spans="2:10" x14ac:dyDescent="0.3">
      <c r="B182" s="27" t="s">
        <v>185</v>
      </c>
      <c r="C182" s="28" t="s">
        <v>189</v>
      </c>
      <c r="D182" s="55" t="s">
        <v>107</v>
      </c>
      <c r="E182" s="55"/>
      <c r="F182" s="34">
        <v>203024</v>
      </c>
      <c r="G182" s="34">
        <v>297180</v>
      </c>
      <c r="H182" s="35">
        <v>46.37678304042872</v>
      </c>
      <c r="I182" s="36"/>
      <c r="J182" s="36"/>
    </row>
    <row r="183" spans="2:10" x14ac:dyDescent="0.3">
      <c r="B183" s="27" t="s">
        <v>185</v>
      </c>
      <c r="C183" s="28" t="s">
        <v>189</v>
      </c>
      <c r="D183" s="55" t="s">
        <v>108</v>
      </c>
      <c r="E183" s="55"/>
      <c r="F183" s="34">
        <v>128318</v>
      </c>
      <c r="G183" s="34">
        <v>133896.34386651599</v>
      </c>
      <c r="H183" s="35">
        <v>4.3472808698046981</v>
      </c>
      <c r="I183" s="36"/>
      <c r="J183" s="36"/>
    </row>
    <row r="184" spans="2:10" x14ac:dyDescent="0.3">
      <c r="B184" s="27" t="s">
        <v>185</v>
      </c>
      <c r="C184" s="28" t="s">
        <v>189</v>
      </c>
      <c r="D184" s="55" t="s">
        <v>109</v>
      </c>
      <c r="E184" s="55"/>
      <c r="F184" s="34">
        <v>97460</v>
      </c>
      <c r="G184" s="34">
        <v>111520</v>
      </c>
      <c r="H184" s="35">
        <v>14.42643135645393</v>
      </c>
      <c r="I184" s="36"/>
      <c r="J184" s="36"/>
    </row>
    <row r="185" spans="2:10" x14ac:dyDescent="0.3">
      <c r="B185" s="27" t="s">
        <v>185</v>
      </c>
      <c r="C185" s="28" t="s">
        <v>189</v>
      </c>
      <c r="D185" s="55" t="s">
        <v>110</v>
      </c>
      <c r="E185" s="55"/>
      <c r="F185" s="34">
        <v>11645</v>
      </c>
      <c r="G185" s="34">
        <v>18750</v>
      </c>
      <c r="H185" s="35">
        <v>61.013310433662518</v>
      </c>
      <c r="I185" s="36"/>
      <c r="J185" s="36"/>
    </row>
    <row r="186" spans="2:10" x14ac:dyDescent="0.3">
      <c r="B186" s="27" t="s">
        <v>185</v>
      </c>
      <c r="C186" s="28" t="s">
        <v>189</v>
      </c>
      <c r="D186" s="55" t="s">
        <v>111</v>
      </c>
      <c r="E186" s="55"/>
      <c r="F186" s="34">
        <v>12735</v>
      </c>
      <c r="G186" s="34">
        <v>15670</v>
      </c>
      <c r="H186" s="35">
        <v>23.046721633294069</v>
      </c>
      <c r="I186" s="36"/>
      <c r="J186" s="36"/>
    </row>
    <row r="187" spans="2:10" x14ac:dyDescent="0.3">
      <c r="B187" s="27" t="s">
        <v>185</v>
      </c>
      <c r="C187" s="28" t="s">
        <v>190</v>
      </c>
      <c r="D187" s="55" t="s">
        <v>112</v>
      </c>
      <c r="E187" s="55"/>
      <c r="F187" s="34">
        <v>11091461</v>
      </c>
      <c r="G187" s="34">
        <v>15643858.34027374</v>
      </c>
      <c r="H187" s="35">
        <v>41.044163075303963</v>
      </c>
      <c r="I187" s="36"/>
      <c r="J187" s="36"/>
    </row>
    <row r="188" spans="2:10" x14ac:dyDescent="0.3">
      <c r="B188" s="27" t="s">
        <v>185</v>
      </c>
      <c r="C188" s="28" t="s">
        <v>190</v>
      </c>
      <c r="D188" s="55" t="s">
        <v>113</v>
      </c>
      <c r="E188" s="55"/>
      <c r="F188" s="34">
        <v>4894501</v>
      </c>
      <c r="G188" s="34">
        <v>5294045.5154004879</v>
      </c>
      <c r="H188" s="35">
        <v>8.1631307338682308</v>
      </c>
      <c r="I188" s="36"/>
      <c r="J188" s="36"/>
    </row>
    <row r="189" spans="2:10" x14ac:dyDescent="0.3">
      <c r="B189" s="27" t="s">
        <v>185</v>
      </c>
      <c r="C189" s="28" t="s">
        <v>190</v>
      </c>
      <c r="D189" s="55" t="s">
        <v>114</v>
      </c>
      <c r="E189" s="55"/>
      <c r="F189" s="34">
        <v>1022474</v>
      </c>
      <c r="G189" s="34">
        <v>2254328.802662191</v>
      </c>
      <c r="H189" s="35">
        <v>120.4778608221032</v>
      </c>
      <c r="I189" s="36"/>
      <c r="J189" s="36"/>
    </row>
    <row r="190" spans="2:10" x14ac:dyDescent="0.3">
      <c r="B190" s="27" t="s">
        <v>185</v>
      </c>
      <c r="C190" s="28" t="s">
        <v>190</v>
      </c>
      <c r="D190" s="55" t="s">
        <v>115</v>
      </c>
      <c r="E190" s="55"/>
      <c r="F190" s="34">
        <v>473056</v>
      </c>
      <c r="G190" s="34">
        <v>611181.22904800496</v>
      </c>
      <c r="H190" s="35">
        <v>29.198494268755699</v>
      </c>
      <c r="I190" s="36"/>
      <c r="J190" s="36"/>
    </row>
    <row r="191" spans="2:10" x14ac:dyDescent="0.3">
      <c r="B191" s="27" t="s">
        <v>185</v>
      </c>
      <c r="C191" s="28" t="s">
        <v>190</v>
      </c>
      <c r="D191" s="55" t="s">
        <v>116</v>
      </c>
      <c r="E191" s="55"/>
      <c r="F191" s="34">
        <v>6974</v>
      </c>
      <c r="G191" s="34">
        <v>13666.9252666793</v>
      </c>
      <c r="H191" s="35">
        <v>95.969676895315445</v>
      </c>
      <c r="I191" s="36"/>
      <c r="J191" s="36"/>
    </row>
    <row r="192" spans="2:10" x14ac:dyDescent="0.3">
      <c r="B192" s="27" t="s">
        <v>185</v>
      </c>
      <c r="C192" s="28" t="s">
        <v>190</v>
      </c>
      <c r="D192" s="55" t="s">
        <v>117</v>
      </c>
      <c r="E192" s="55"/>
      <c r="F192" s="34">
        <v>1456</v>
      </c>
      <c r="G192" s="34">
        <v>2715.6690139391999</v>
      </c>
      <c r="H192" s="35">
        <v>86.515728979340651</v>
      </c>
      <c r="I192" s="36"/>
      <c r="J192" s="36"/>
    </row>
    <row r="193" spans="2:10" x14ac:dyDescent="0.3">
      <c r="B193" s="27" t="s">
        <v>185</v>
      </c>
      <c r="C193" s="28" t="s">
        <v>191</v>
      </c>
      <c r="D193" s="55" t="s">
        <v>118</v>
      </c>
      <c r="E193" s="55"/>
      <c r="F193" s="34">
        <v>13230934</v>
      </c>
      <c r="G193" s="34">
        <v>16190730.431700001</v>
      </c>
      <c r="H193" s="35">
        <v>22.370275837669521</v>
      </c>
      <c r="I193" s="36"/>
      <c r="J193" s="36"/>
    </row>
    <row r="194" spans="2:10" x14ac:dyDescent="0.3">
      <c r="B194" s="27" t="s">
        <v>185</v>
      </c>
      <c r="C194" s="28" t="s">
        <v>191</v>
      </c>
      <c r="D194" s="55" t="s">
        <v>119</v>
      </c>
      <c r="E194" s="55"/>
      <c r="F194" s="34">
        <v>660041</v>
      </c>
      <c r="G194" s="34">
        <v>2313850.8139999998</v>
      </c>
      <c r="H194" s="35">
        <v>250.56167935022211</v>
      </c>
      <c r="I194" s="36"/>
      <c r="J194" s="36"/>
    </row>
    <row r="195" spans="2:10" x14ac:dyDescent="0.3">
      <c r="B195" s="27" t="s">
        <v>185</v>
      </c>
      <c r="C195" s="28" t="s">
        <v>191</v>
      </c>
      <c r="D195" s="55" t="s">
        <v>120</v>
      </c>
      <c r="E195" s="55"/>
      <c r="F195" s="34">
        <v>461443</v>
      </c>
      <c r="G195" s="34">
        <v>720646.65142367035</v>
      </c>
      <c r="H195" s="35">
        <v>56.172409468486983</v>
      </c>
      <c r="I195" s="36"/>
      <c r="J195" s="36"/>
    </row>
    <row r="196" spans="2:10" x14ac:dyDescent="0.3">
      <c r="B196" s="27" t="s">
        <v>185</v>
      </c>
      <c r="C196" s="28" t="s">
        <v>191</v>
      </c>
      <c r="D196" s="55" t="s">
        <v>121</v>
      </c>
      <c r="E196" s="55"/>
      <c r="F196" s="34">
        <v>418253</v>
      </c>
      <c r="G196" s="34">
        <v>571713.81793582975</v>
      </c>
      <c r="H196" s="35">
        <v>36.690906684669272</v>
      </c>
      <c r="I196" s="36"/>
      <c r="J196" s="36"/>
    </row>
    <row r="197" spans="2:10" x14ac:dyDescent="0.3">
      <c r="B197" s="27" t="s">
        <v>185</v>
      </c>
      <c r="C197" s="28" t="s">
        <v>191</v>
      </c>
      <c r="D197" s="55" t="s">
        <v>116</v>
      </c>
      <c r="E197" s="55"/>
      <c r="F197" s="34">
        <v>994</v>
      </c>
      <c r="G197" s="34">
        <v>1440.8025122281999</v>
      </c>
      <c r="H197" s="35">
        <v>44.949950928390336</v>
      </c>
      <c r="I197" s="36"/>
      <c r="J197" s="36"/>
    </row>
    <row r="198" spans="2:10" x14ac:dyDescent="0.3">
      <c r="B198" s="27" t="s">
        <v>185</v>
      </c>
      <c r="C198" s="28" t="s">
        <v>192</v>
      </c>
      <c r="D198" s="55" t="s">
        <v>122</v>
      </c>
      <c r="E198" s="55"/>
      <c r="F198" s="34">
        <v>968</v>
      </c>
      <c r="G198" s="34">
        <v>911.30136074999996</v>
      </c>
      <c r="H198" s="35">
        <v>-5.8572974431818228</v>
      </c>
      <c r="I198" s="36"/>
      <c r="J198" s="36"/>
    </row>
    <row r="199" spans="2:10" x14ac:dyDescent="0.3">
      <c r="B199" s="27" t="s">
        <v>185</v>
      </c>
      <c r="C199" s="28" t="s">
        <v>183</v>
      </c>
      <c r="D199" s="55" t="s">
        <v>123</v>
      </c>
      <c r="E199" s="55"/>
      <c r="F199" s="34">
        <v>2222</v>
      </c>
      <c r="G199" s="34">
        <v>2803.0109308740002</v>
      </c>
      <c r="H199" s="35">
        <v>26.14810670000001</v>
      </c>
      <c r="I199" s="36"/>
      <c r="J199" s="36"/>
    </row>
    <row r="200" spans="2:10" x14ac:dyDescent="0.3">
      <c r="B200" s="59" t="s">
        <v>13</v>
      </c>
      <c r="C200" s="29"/>
      <c r="D200" s="57" t="s">
        <v>193</v>
      </c>
      <c r="E200" s="57"/>
      <c r="F200" s="29" t="s">
        <v>194</v>
      </c>
      <c r="G200" s="29" t="s">
        <v>195</v>
      </c>
      <c r="H200" s="29" t="s">
        <v>196</v>
      </c>
      <c r="I200" s="29"/>
      <c r="J200" s="30"/>
    </row>
    <row r="201" spans="2:10" x14ac:dyDescent="0.3">
      <c r="B201" s="59"/>
      <c r="C201" s="31"/>
      <c r="D201" s="58" t="s">
        <v>197</v>
      </c>
      <c r="E201" s="58"/>
      <c r="F201" s="32">
        <f>SUM(F158:F199)</f>
        <v>379358112</v>
      </c>
      <c r="G201" s="32">
        <f>SUM(G158:G199)</f>
        <v>583167683.56103039</v>
      </c>
      <c r="H201" s="37">
        <f>(SUM(G158:G199) - SUM(F158:F199)) * 100 / IF(SUM(F158:F199), SUM(F158:F199), 1)</f>
        <v>53.724848662529823</v>
      </c>
      <c r="I201" s="31"/>
      <c r="J201" s="33"/>
    </row>
    <row r="203" spans="2:10" ht="20.25" x14ac:dyDescent="0.3">
      <c r="B203" s="1" t="s">
        <v>198</v>
      </c>
    </row>
    <row r="204" spans="2:10" x14ac:dyDescent="0.3">
      <c r="B204" t="s">
        <v>199</v>
      </c>
    </row>
    <row r="205" spans="2:10" x14ac:dyDescent="0.3">
      <c r="B205" s="38" t="s">
        <v>200</v>
      </c>
      <c r="C205" s="39" t="s">
        <v>164</v>
      </c>
      <c r="D205" s="60" t="s">
        <v>52</v>
      </c>
      <c r="E205" s="60"/>
      <c r="F205" s="39" t="s">
        <v>201</v>
      </c>
      <c r="G205" s="39" t="s">
        <v>202</v>
      </c>
      <c r="H205" s="39" t="s">
        <v>203</v>
      </c>
      <c r="I205" s="39" t="s">
        <v>204</v>
      </c>
      <c r="J205" s="39" t="s">
        <v>205</v>
      </c>
    </row>
    <row r="206" spans="2:10" x14ac:dyDescent="0.3">
      <c r="B206" s="27"/>
      <c r="C206" s="28"/>
      <c r="D206" s="55"/>
      <c r="E206" s="55"/>
      <c r="F206" s="28"/>
      <c r="G206" s="28"/>
      <c r="H206" s="28"/>
      <c r="I206" s="28"/>
      <c r="J206" s="28"/>
    </row>
    <row r="207" spans="2:10" x14ac:dyDescent="0.3">
      <c r="B207" s="59" t="s">
        <v>13</v>
      </c>
      <c r="C207" s="29"/>
      <c r="D207" s="57" t="s">
        <v>206</v>
      </c>
      <c r="E207" s="57"/>
      <c r="F207" s="29" t="s">
        <v>207</v>
      </c>
      <c r="G207" s="29" t="s">
        <v>208</v>
      </c>
      <c r="H207" s="29"/>
      <c r="I207" s="29"/>
      <c r="J207" s="30"/>
    </row>
    <row r="208" spans="2:10" x14ac:dyDescent="0.3">
      <c r="B208" s="59"/>
      <c r="C208" s="31"/>
      <c r="D208" s="61">
        <f>SUM(0)</f>
        <v>0</v>
      </c>
      <c r="E208" s="61"/>
      <c r="F208" s="32">
        <f>SUM(F206)</f>
        <v>0</v>
      </c>
      <c r="G208" s="32">
        <f>SUM(G206)</f>
        <v>0</v>
      </c>
      <c r="H208" s="31"/>
      <c r="I208" s="31"/>
      <c r="J208" s="33"/>
    </row>
  </sheetData>
  <mergeCells count="281">
    <mergeCell ref="B207:B208"/>
    <mergeCell ref="D207:E207"/>
    <mergeCell ref="D208:E208"/>
    <mergeCell ref="D196:E196"/>
    <mergeCell ref="D197:E197"/>
    <mergeCell ref="D198:E198"/>
    <mergeCell ref="D199:E199"/>
    <mergeCell ref="B200:B201"/>
    <mergeCell ref="D200:E200"/>
    <mergeCell ref="D201:E201"/>
    <mergeCell ref="D205:E205"/>
    <mergeCell ref="D206:E20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B145:I145"/>
    <mergeCell ref="C150:D150"/>
    <mergeCell ref="C151:D151"/>
    <mergeCell ref="B152:B153"/>
    <mergeCell ref="C152:D152"/>
    <mergeCell ref="C153:D153"/>
    <mergeCell ref="D157:E157"/>
    <mergeCell ref="D158:E158"/>
    <mergeCell ref="D159:E159"/>
    <mergeCell ref="G137:H137"/>
    <mergeCell ref="G138:H138"/>
    <mergeCell ref="G139:H139"/>
    <mergeCell ref="G140:H140"/>
    <mergeCell ref="G141:H141"/>
    <mergeCell ref="G142:H142"/>
    <mergeCell ref="B143:D143"/>
    <mergeCell ref="F143:H143"/>
    <mergeCell ref="B144:I144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C134:D134"/>
    <mergeCell ref="C135:D135"/>
    <mergeCell ref="B136:B142"/>
    <mergeCell ref="C136:D136"/>
    <mergeCell ref="C137:D137"/>
    <mergeCell ref="C138:D138"/>
    <mergeCell ref="C139:D139"/>
    <mergeCell ref="C140:D140"/>
    <mergeCell ref="C141:D141"/>
    <mergeCell ref="C142:D142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B66:B131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55:D55"/>
    <mergeCell ref="C56:D56"/>
    <mergeCell ref="C57:D57"/>
    <mergeCell ref="B58:B60"/>
    <mergeCell ref="C58:D58"/>
    <mergeCell ref="C59:D59"/>
    <mergeCell ref="C60:D60"/>
    <mergeCell ref="B61:B65"/>
    <mergeCell ref="C61:D61"/>
    <mergeCell ref="C62:D62"/>
    <mergeCell ref="C63:D63"/>
    <mergeCell ref="C64:D64"/>
    <mergeCell ref="C65:D65"/>
    <mergeCell ref="F5:G5"/>
    <mergeCell ref="F6:G6"/>
    <mergeCell ref="B36:E36"/>
    <mergeCell ref="F36:I36"/>
    <mergeCell ref="C37:D37"/>
    <mergeCell ref="G37:H37"/>
    <mergeCell ref="B38:B55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phoneticPr fontId="4" type="noConversion"/>
  <pageMargins left="0.7" right="0.7" top="0.75" bottom="0.75" header="0.3" footer="0.3"/>
  <pageSetup paperSize="9" orientation="portrait" horizontalDpi="1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2"/>
  <sheetViews>
    <sheetView workbookViewId="0"/>
  </sheetViews>
  <sheetFormatPr defaultRowHeight="16.5" x14ac:dyDescent="0.3"/>
  <cols>
    <col min="1" max="1" width="15.75" customWidth="1"/>
    <col min="6" max="7" width="20.75" customWidth="1"/>
    <col min="9" max="10" width="20.75" customWidth="1"/>
  </cols>
  <sheetData>
    <row r="1" spans="1:10" x14ac:dyDescent="0.3">
      <c r="A1" s="40" t="s">
        <v>209</v>
      </c>
      <c r="B1" s="40" t="s">
        <v>210</v>
      </c>
      <c r="C1" s="40" t="s">
        <v>211</v>
      </c>
      <c r="D1" s="40" t="s">
        <v>212</v>
      </c>
      <c r="E1" s="40" t="s">
        <v>213</v>
      </c>
      <c r="F1" s="40" t="s">
        <v>214</v>
      </c>
      <c r="G1" s="40" t="s">
        <v>53</v>
      </c>
      <c r="H1" s="40" t="s">
        <v>215</v>
      </c>
      <c r="I1" s="40" t="s">
        <v>216</v>
      </c>
      <c r="J1" s="40" t="s">
        <v>217</v>
      </c>
    </row>
    <row r="2" spans="1:10" x14ac:dyDescent="0.3">
      <c r="A2" s="41">
        <v>46184</v>
      </c>
      <c r="B2" s="42">
        <v>0.62042824074074077</v>
      </c>
      <c r="C2" t="s">
        <v>218</v>
      </c>
      <c r="D2" t="s">
        <v>74</v>
      </c>
      <c r="E2" t="s">
        <v>31</v>
      </c>
      <c r="F2" t="s">
        <v>219</v>
      </c>
      <c r="G2">
        <v>100</v>
      </c>
      <c r="H2" t="s">
        <v>220</v>
      </c>
      <c r="I2" t="s">
        <v>59</v>
      </c>
    </row>
    <row r="3" spans="1:10" x14ac:dyDescent="0.3">
      <c r="A3" s="41">
        <v>46184</v>
      </c>
      <c r="B3" s="42">
        <v>0.62026620370370367</v>
      </c>
      <c r="C3" t="s">
        <v>221</v>
      </c>
      <c r="D3" t="s">
        <v>42</v>
      </c>
      <c r="E3" t="s">
        <v>222</v>
      </c>
      <c r="F3" t="s">
        <v>219</v>
      </c>
      <c r="G3">
        <v>-100</v>
      </c>
      <c r="H3" t="s">
        <v>220</v>
      </c>
      <c r="I3" t="s">
        <v>59</v>
      </c>
    </row>
    <row r="4" spans="1:10" x14ac:dyDescent="0.3">
      <c r="A4" s="41">
        <v>46182</v>
      </c>
      <c r="B4" s="42">
        <v>0.78863425925925923</v>
      </c>
      <c r="C4" t="s">
        <v>221</v>
      </c>
      <c r="D4" t="s">
        <v>42</v>
      </c>
      <c r="E4" t="s">
        <v>223</v>
      </c>
      <c r="F4" t="s">
        <v>224</v>
      </c>
      <c r="G4">
        <v>1990</v>
      </c>
      <c r="H4" t="s">
        <v>220</v>
      </c>
      <c r="I4" t="s">
        <v>225</v>
      </c>
    </row>
    <row r="5" spans="1:10" x14ac:dyDescent="0.3">
      <c r="A5" s="41">
        <v>46181</v>
      </c>
      <c r="B5" s="42">
        <v>0.40204861111111112</v>
      </c>
      <c r="C5" t="s">
        <v>221</v>
      </c>
      <c r="D5" t="s">
        <v>40</v>
      </c>
      <c r="E5" t="s">
        <v>226</v>
      </c>
      <c r="F5" t="s">
        <v>227</v>
      </c>
      <c r="G5">
        <v>-1990</v>
      </c>
      <c r="H5" t="s">
        <v>220</v>
      </c>
      <c r="I5" t="s">
        <v>228</v>
      </c>
    </row>
    <row r="6" spans="1:10" x14ac:dyDescent="0.3">
      <c r="A6" s="41">
        <v>46181</v>
      </c>
      <c r="B6" s="42">
        <v>0.40204861111111112</v>
      </c>
      <c r="C6" t="s">
        <v>221</v>
      </c>
      <c r="D6" t="s">
        <v>42</v>
      </c>
      <c r="E6" t="s">
        <v>223</v>
      </c>
      <c r="F6" t="s">
        <v>224</v>
      </c>
      <c r="G6">
        <v>-1990</v>
      </c>
      <c r="H6" t="s">
        <v>220</v>
      </c>
      <c r="I6" t="s">
        <v>225</v>
      </c>
    </row>
    <row r="7" spans="1:10" x14ac:dyDescent="0.3">
      <c r="A7" s="41">
        <v>46178</v>
      </c>
      <c r="B7" s="42">
        <v>0.27677083333333341</v>
      </c>
      <c r="C7" t="s">
        <v>218</v>
      </c>
      <c r="D7" t="s">
        <v>229</v>
      </c>
      <c r="E7" t="s">
        <v>31</v>
      </c>
      <c r="F7" t="s">
        <v>7</v>
      </c>
      <c r="G7">
        <v>-30000</v>
      </c>
      <c r="H7" t="s">
        <v>220</v>
      </c>
      <c r="I7" t="s">
        <v>57</v>
      </c>
    </row>
    <row r="8" spans="1:10" x14ac:dyDescent="0.3">
      <c r="A8" s="41">
        <v>46175</v>
      </c>
      <c r="B8" s="42">
        <v>0.77831018518518513</v>
      </c>
      <c r="C8" t="s">
        <v>218</v>
      </c>
      <c r="D8" t="s">
        <v>31</v>
      </c>
      <c r="E8" t="s">
        <v>31</v>
      </c>
      <c r="F8" t="s">
        <v>230</v>
      </c>
      <c r="G8">
        <v>260000</v>
      </c>
      <c r="H8" t="s">
        <v>220</v>
      </c>
      <c r="I8" t="s">
        <v>57</v>
      </c>
    </row>
    <row r="9" spans="1:10" x14ac:dyDescent="0.3">
      <c r="A9" s="41">
        <v>46174</v>
      </c>
      <c r="B9" s="42">
        <v>0.33600694444444451</v>
      </c>
      <c r="C9" t="s">
        <v>218</v>
      </c>
      <c r="D9" t="s">
        <v>229</v>
      </c>
      <c r="E9" t="s">
        <v>31</v>
      </c>
      <c r="F9" t="s">
        <v>231</v>
      </c>
      <c r="G9">
        <v>100000</v>
      </c>
      <c r="H9" t="s">
        <v>220</v>
      </c>
      <c r="I9" t="s">
        <v>78</v>
      </c>
    </row>
    <row r="10" spans="1:10" x14ac:dyDescent="0.3">
      <c r="A10" s="41">
        <v>46174</v>
      </c>
      <c r="B10" s="42">
        <v>0.33600694444444451</v>
      </c>
      <c r="C10" t="s">
        <v>218</v>
      </c>
      <c r="D10" t="s">
        <v>229</v>
      </c>
      <c r="E10" t="s">
        <v>31</v>
      </c>
      <c r="F10" t="s">
        <v>232</v>
      </c>
      <c r="G10">
        <v>-100000</v>
      </c>
      <c r="H10" t="s">
        <v>220</v>
      </c>
      <c r="I10" t="s">
        <v>60</v>
      </c>
    </row>
    <row r="11" spans="1:10" x14ac:dyDescent="0.3">
      <c r="A11" s="41">
        <v>46174</v>
      </c>
      <c r="B11" s="42">
        <v>0.28233796296296299</v>
      </c>
      <c r="C11" t="s">
        <v>233</v>
      </c>
      <c r="D11" t="s">
        <v>28</v>
      </c>
      <c r="E11" t="s">
        <v>31</v>
      </c>
      <c r="F11" t="s">
        <v>234</v>
      </c>
      <c r="G11">
        <v>33</v>
      </c>
      <c r="H11" t="s">
        <v>220</v>
      </c>
      <c r="I11" t="s">
        <v>63</v>
      </c>
    </row>
    <row r="12" spans="1:10" x14ac:dyDescent="0.3">
      <c r="A12" s="41">
        <v>46174</v>
      </c>
      <c r="B12" s="42">
        <v>0.1471412037037037</v>
      </c>
      <c r="C12" t="s">
        <v>233</v>
      </c>
      <c r="D12" t="s">
        <v>28</v>
      </c>
      <c r="E12" t="s">
        <v>31</v>
      </c>
      <c r="F12" t="s">
        <v>235</v>
      </c>
      <c r="G12">
        <v>5</v>
      </c>
      <c r="H12" t="s">
        <v>220</v>
      </c>
      <c r="I12" t="s">
        <v>70</v>
      </c>
    </row>
    <row r="13" spans="1:10" x14ac:dyDescent="0.3">
      <c r="A13" s="41">
        <v>46174</v>
      </c>
      <c r="B13" s="42">
        <v>5.7638888888888892E-2</v>
      </c>
      <c r="C13" t="s">
        <v>233</v>
      </c>
      <c r="D13" t="s">
        <v>28</v>
      </c>
      <c r="E13" t="s">
        <v>31</v>
      </c>
      <c r="F13" t="s">
        <v>236</v>
      </c>
      <c r="G13">
        <v>0</v>
      </c>
      <c r="H13" t="s">
        <v>220</v>
      </c>
      <c r="I13" t="s">
        <v>64</v>
      </c>
    </row>
    <row r="14" spans="1:10" x14ac:dyDescent="0.3">
      <c r="A14" s="41">
        <v>46173</v>
      </c>
      <c r="B14" s="42">
        <v>0.41677083333333331</v>
      </c>
      <c r="C14" t="s">
        <v>218</v>
      </c>
      <c r="D14" t="s">
        <v>229</v>
      </c>
      <c r="E14" t="s">
        <v>31</v>
      </c>
      <c r="F14" t="s">
        <v>7</v>
      </c>
      <c r="G14">
        <v>-100000</v>
      </c>
      <c r="H14" t="s">
        <v>220</v>
      </c>
      <c r="I14" t="s">
        <v>62</v>
      </c>
    </row>
    <row r="15" spans="1:10" x14ac:dyDescent="0.3">
      <c r="A15" s="41">
        <v>46173</v>
      </c>
      <c r="B15" s="42">
        <v>0.41677083333333331</v>
      </c>
      <c r="C15" t="s">
        <v>218</v>
      </c>
      <c r="D15" t="s">
        <v>229</v>
      </c>
      <c r="E15" t="s">
        <v>31</v>
      </c>
      <c r="F15" t="s">
        <v>237</v>
      </c>
      <c r="G15">
        <v>100000</v>
      </c>
      <c r="H15" t="s">
        <v>220</v>
      </c>
      <c r="I15" t="s">
        <v>60</v>
      </c>
    </row>
    <row r="16" spans="1:10" x14ac:dyDescent="0.3">
      <c r="A16" s="41">
        <v>46169</v>
      </c>
      <c r="B16" s="42">
        <v>0.35806712962962961</v>
      </c>
      <c r="C16" t="s">
        <v>218</v>
      </c>
      <c r="D16" t="s">
        <v>238</v>
      </c>
      <c r="E16" t="s">
        <v>31</v>
      </c>
      <c r="F16" t="s">
        <v>239</v>
      </c>
      <c r="G16">
        <v>230000</v>
      </c>
      <c r="H16" t="s">
        <v>220</v>
      </c>
      <c r="I16" t="s">
        <v>57</v>
      </c>
    </row>
    <row r="17" spans="1:9" x14ac:dyDescent="0.3">
      <c r="A17" s="41">
        <v>46168</v>
      </c>
      <c r="B17" s="42">
        <v>0.75017361111111114</v>
      </c>
      <c r="C17" t="s">
        <v>221</v>
      </c>
      <c r="D17" t="s">
        <v>44</v>
      </c>
      <c r="E17" t="s">
        <v>240</v>
      </c>
      <c r="F17" t="s">
        <v>241</v>
      </c>
      <c r="G17">
        <v>-286010</v>
      </c>
      <c r="H17" t="s">
        <v>220</v>
      </c>
      <c r="I17" t="s">
        <v>242</v>
      </c>
    </row>
    <row r="18" spans="1:9" x14ac:dyDescent="0.3">
      <c r="A18" s="41">
        <v>46168</v>
      </c>
      <c r="B18" s="42">
        <v>0.58204861111111106</v>
      </c>
      <c r="C18" t="s">
        <v>221</v>
      </c>
      <c r="D18" t="s">
        <v>44</v>
      </c>
      <c r="E18" t="s">
        <v>243</v>
      </c>
      <c r="F18" t="s">
        <v>244</v>
      </c>
      <c r="G18">
        <v>-100</v>
      </c>
      <c r="H18" t="s">
        <v>220</v>
      </c>
      <c r="I18" t="s">
        <v>242</v>
      </c>
    </row>
    <row r="19" spans="1:9" x14ac:dyDescent="0.3">
      <c r="A19" s="41">
        <v>46168</v>
      </c>
      <c r="B19" s="42">
        <v>0.33287037037037043</v>
      </c>
      <c r="C19" t="s">
        <v>218</v>
      </c>
      <c r="D19" t="s">
        <v>229</v>
      </c>
      <c r="E19" t="s">
        <v>31</v>
      </c>
      <c r="F19" t="s">
        <v>231</v>
      </c>
      <c r="G19">
        <v>200000</v>
      </c>
      <c r="H19" t="s">
        <v>220</v>
      </c>
      <c r="I19" t="s">
        <v>77</v>
      </c>
    </row>
    <row r="20" spans="1:9" x14ac:dyDescent="0.3">
      <c r="A20" s="41">
        <v>46168</v>
      </c>
      <c r="B20" s="42">
        <v>0.33287037037037043</v>
      </c>
      <c r="C20" t="s">
        <v>218</v>
      </c>
      <c r="D20" t="s">
        <v>229</v>
      </c>
      <c r="E20" t="s">
        <v>31</v>
      </c>
      <c r="F20" t="s">
        <v>232</v>
      </c>
      <c r="G20">
        <v>-200000</v>
      </c>
      <c r="H20" t="s">
        <v>220</v>
      </c>
      <c r="I20" t="s">
        <v>60</v>
      </c>
    </row>
    <row r="21" spans="1:9" x14ac:dyDescent="0.3">
      <c r="A21" s="41">
        <v>46166</v>
      </c>
      <c r="B21" s="42">
        <v>0.60321759259259256</v>
      </c>
      <c r="C21" t="s">
        <v>221</v>
      </c>
      <c r="D21" t="s">
        <v>39</v>
      </c>
      <c r="E21" t="s">
        <v>245</v>
      </c>
      <c r="F21" t="s">
        <v>246</v>
      </c>
      <c r="G21">
        <v>-5000</v>
      </c>
      <c r="H21" t="s">
        <v>220</v>
      </c>
      <c r="I21" t="s">
        <v>247</v>
      </c>
    </row>
    <row r="22" spans="1:9" x14ac:dyDescent="0.3">
      <c r="A22" s="41">
        <v>46166</v>
      </c>
      <c r="B22" s="42">
        <v>0.41677083333333331</v>
      </c>
      <c r="C22" t="s">
        <v>218</v>
      </c>
      <c r="D22" t="s">
        <v>229</v>
      </c>
      <c r="E22" t="s">
        <v>31</v>
      </c>
      <c r="F22" t="s">
        <v>237</v>
      </c>
      <c r="G22">
        <v>200000</v>
      </c>
      <c r="H22" t="s">
        <v>220</v>
      </c>
      <c r="I22" t="s">
        <v>60</v>
      </c>
    </row>
    <row r="23" spans="1:9" x14ac:dyDescent="0.3">
      <c r="A23" s="41">
        <v>46166</v>
      </c>
      <c r="B23" s="42">
        <v>0.41675925925925927</v>
      </c>
      <c r="C23" t="s">
        <v>218</v>
      </c>
      <c r="D23" t="s">
        <v>229</v>
      </c>
      <c r="E23" t="s">
        <v>31</v>
      </c>
      <c r="F23" t="s">
        <v>7</v>
      </c>
      <c r="G23">
        <v>-200000</v>
      </c>
      <c r="H23" t="s">
        <v>220</v>
      </c>
      <c r="I23" t="s">
        <v>62</v>
      </c>
    </row>
    <row r="24" spans="1:9" x14ac:dyDescent="0.3">
      <c r="A24" s="41">
        <v>46165</v>
      </c>
      <c r="B24" s="42">
        <v>0.183900462962963</v>
      </c>
      <c r="C24" t="s">
        <v>233</v>
      </c>
      <c r="D24" t="s">
        <v>28</v>
      </c>
      <c r="E24" t="s">
        <v>31</v>
      </c>
      <c r="F24" t="s">
        <v>234</v>
      </c>
      <c r="G24">
        <v>0</v>
      </c>
      <c r="H24" t="s">
        <v>220</v>
      </c>
      <c r="I24" t="s">
        <v>66</v>
      </c>
    </row>
    <row r="25" spans="1:9" x14ac:dyDescent="0.3">
      <c r="A25" s="41">
        <v>46165</v>
      </c>
      <c r="B25" s="42">
        <v>0.13549768518518521</v>
      </c>
      <c r="C25" t="s">
        <v>233</v>
      </c>
      <c r="D25" t="s">
        <v>28</v>
      </c>
      <c r="E25" t="s">
        <v>31</v>
      </c>
      <c r="F25" t="s">
        <v>248</v>
      </c>
      <c r="G25">
        <v>3</v>
      </c>
      <c r="H25" t="s">
        <v>220</v>
      </c>
      <c r="I25" t="s">
        <v>67</v>
      </c>
    </row>
    <row r="26" spans="1:9" x14ac:dyDescent="0.3">
      <c r="A26" s="41">
        <v>46165</v>
      </c>
      <c r="B26" s="42">
        <v>0.1242476851851852</v>
      </c>
      <c r="C26" t="s">
        <v>218</v>
      </c>
      <c r="D26" t="s">
        <v>238</v>
      </c>
      <c r="E26" t="s">
        <v>31</v>
      </c>
      <c r="F26" t="s">
        <v>249</v>
      </c>
      <c r="G26">
        <v>0</v>
      </c>
      <c r="H26" t="s">
        <v>220</v>
      </c>
      <c r="I26" t="s">
        <v>65</v>
      </c>
    </row>
    <row r="27" spans="1:9" x14ac:dyDescent="0.3">
      <c r="A27" s="41">
        <v>46165</v>
      </c>
      <c r="B27" s="42">
        <v>7.4988425925925931E-2</v>
      </c>
      <c r="C27" t="s">
        <v>233</v>
      </c>
      <c r="D27" t="s">
        <v>28</v>
      </c>
      <c r="E27" t="s">
        <v>31</v>
      </c>
      <c r="F27" t="s">
        <v>250</v>
      </c>
      <c r="G27">
        <v>0</v>
      </c>
      <c r="H27" t="s">
        <v>220</v>
      </c>
      <c r="I27" t="s">
        <v>71</v>
      </c>
    </row>
    <row r="28" spans="1:9" x14ac:dyDescent="0.3">
      <c r="A28" s="41">
        <v>46164</v>
      </c>
      <c r="B28" s="42">
        <v>0.42253472222222221</v>
      </c>
      <c r="C28" t="s">
        <v>218</v>
      </c>
      <c r="D28" t="s">
        <v>229</v>
      </c>
      <c r="E28" t="s">
        <v>31</v>
      </c>
      <c r="F28" t="s">
        <v>7</v>
      </c>
      <c r="G28">
        <v>2500000</v>
      </c>
      <c r="H28" t="s">
        <v>220</v>
      </c>
      <c r="I28" t="s">
        <v>76</v>
      </c>
    </row>
    <row r="29" spans="1:9" x14ac:dyDescent="0.3">
      <c r="A29" s="41">
        <v>46163</v>
      </c>
      <c r="B29" s="42">
        <v>0.71777777777777774</v>
      </c>
      <c r="C29" t="s">
        <v>218</v>
      </c>
      <c r="D29" t="s">
        <v>229</v>
      </c>
      <c r="E29" t="s">
        <v>31</v>
      </c>
      <c r="F29" t="s">
        <v>7</v>
      </c>
      <c r="G29">
        <v>-390000</v>
      </c>
      <c r="H29" t="s">
        <v>220</v>
      </c>
      <c r="I29" t="s">
        <v>57</v>
      </c>
    </row>
    <row r="30" spans="1:9" x14ac:dyDescent="0.3">
      <c r="A30" s="41">
        <v>46161</v>
      </c>
      <c r="B30" s="42">
        <v>0.3845486111111111</v>
      </c>
      <c r="C30" t="s">
        <v>221</v>
      </c>
      <c r="D30" t="s">
        <v>44</v>
      </c>
      <c r="E30" t="s">
        <v>243</v>
      </c>
      <c r="F30" t="s">
        <v>251</v>
      </c>
      <c r="G30">
        <v>-36390</v>
      </c>
      <c r="H30" t="s">
        <v>220</v>
      </c>
      <c r="I30" t="s">
        <v>242</v>
      </c>
    </row>
    <row r="31" spans="1:9" x14ac:dyDescent="0.3">
      <c r="A31" s="41">
        <v>46160</v>
      </c>
      <c r="B31" s="42">
        <v>0.75854166666666667</v>
      </c>
      <c r="C31" t="s">
        <v>218</v>
      </c>
      <c r="D31" t="s">
        <v>252</v>
      </c>
      <c r="E31" t="s">
        <v>31</v>
      </c>
      <c r="F31" t="s">
        <v>253</v>
      </c>
      <c r="G31">
        <v>-222565</v>
      </c>
      <c r="H31" t="s">
        <v>220</v>
      </c>
      <c r="I31" t="s">
        <v>57</v>
      </c>
    </row>
    <row r="32" spans="1:9" x14ac:dyDescent="0.3">
      <c r="A32" s="41">
        <v>46160</v>
      </c>
      <c r="B32" s="42">
        <v>0.71315972222222224</v>
      </c>
      <c r="C32" t="s">
        <v>218</v>
      </c>
      <c r="D32" t="s">
        <v>218</v>
      </c>
      <c r="E32" t="s">
        <v>31</v>
      </c>
      <c r="F32" t="s">
        <v>254</v>
      </c>
      <c r="G32">
        <v>-43300</v>
      </c>
      <c r="H32" t="s">
        <v>220</v>
      </c>
      <c r="I32" t="s">
        <v>56</v>
      </c>
    </row>
    <row r="33" spans="1:9" x14ac:dyDescent="0.3">
      <c r="A33" s="41">
        <v>46160</v>
      </c>
      <c r="B33" s="42">
        <v>0.71280092592592592</v>
      </c>
      <c r="C33" t="s">
        <v>221</v>
      </c>
      <c r="D33" t="s">
        <v>37</v>
      </c>
      <c r="E33" t="s">
        <v>255</v>
      </c>
      <c r="F33" t="s">
        <v>256</v>
      </c>
      <c r="G33">
        <v>-433080</v>
      </c>
      <c r="H33" t="s">
        <v>220</v>
      </c>
      <c r="I33" t="s">
        <v>56</v>
      </c>
    </row>
    <row r="34" spans="1:9" x14ac:dyDescent="0.3">
      <c r="A34" s="41">
        <v>46160</v>
      </c>
      <c r="B34" s="42">
        <v>0.53950231481481481</v>
      </c>
      <c r="C34" t="s">
        <v>218</v>
      </c>
      <c r="D34" t="s">
        <v>238</v>
      </c>
      <c r="E34" t="s">
        <v>31</v>
      </c>
      <c r="F34" t="s">
        <v>257</v>
      </c>
      <c r="G34">
        <v>100</v>
      </c>
      <c r="H34" t="s">
        <v>220</v>
      </c>
      <c r="I34" t="s">
        <v>57</v>
      </c>
    </row>
    <row r="35" spans="1:9" x14ac:dyDescent="0.3">
      <c r="A35" s="41">
        <v>46160</v>
      </c>
      <c r="B35" s="42">
        <v>0.47699074074074072</v>
      </c>
      <c r="C35" t="s">
        <v>233</v>
      </c>
      <c r="D35" t="s">
        <v>30</v>
      </c>
      <c r="E35" t="s">
        <v>31</v>
      </c>
      <c r="F35" t="s">
        <v>258</v>
      </c>
      <c r="G35">
        <v>41350</v>
      </c>
      <c r="H35" t="s">
        <v>220</v>
      </c>
      <c r="I35" t="s">
        <v>56</v>
      </c>
    </row>
    <row r="36" spans="1:9" x14ac:dyDescent="0.3">
      <c r="A36" s="41">
        <v>46159</v>
      </c>
      <c r="B36" s="42">
        <v>0.79170138888888886</v>
      </c>
      <c r="C36" t="s">
        <v>218</v>
      </c>
      <c r="D36" t="s">
        <v>229</v>
      </c>
      <c r="E36" t="s">
        <v>31</v>
      </c>
      <c r="F36" t="s">
        <v>7</v>
      </c>
      <c r="G36">
        <v>-2000000</v>
      </c>
      <c r="H36" t="s">
        <v>220</v>
      </c>
      <c r="I36" t="s">
        <v>57</v>
      </c>
    </row>
    <row r="37" spans="1:9" x14ac:dyDescent="0.3">
      <c r="A37" s="41">
        <v>46159</v>
      </c>
      <c r="B37" s="42">
        <v>0.79168981481481482</v>
      </c>
      <c r="C37" t="s">
        <v>218</v>
      </c>
      <c r="D37" t="s">
        <v>229</v>
      </c>
      <c r="E37" t="s">
        <v>31</v>
      </c>
      <c r="F37" t="s">
        <v>7</v>
      </c>
      <c r="G37">
        <v>-500000</v>
      </c>
      <c r="H37" t="s">
        <v>220</v>
      </c>
      <c r="I37" t="s">
        <v>57</v>
      </c>
    </row>
    <row r="38" spans="1:9" x14ac:dyDescent="0.3">
      <c r="A38" s="41">
        <v>46159</v>
      </c>
      <c r="B38" s="42">
        <v>0.79168981481481482</v>
      </c>
      <c r="C38" t="s">
        <v>218</v>
      </c>
      <c r="D38" t="s">
        <v>229</v>
      </c>
      <c r="E38" t="s">
        <v>31</v>
      </c>
      <c r="F38" t="s">
        <v>7</v>
      </c>
      <c r="G38">
        <v>100000</v>
      </c>
      <c r="H38" t="s">
        <v>220</v>
      </c>
      <c r="I38" t="s">
        <v>62</v>
      </c>
    </row>
    <row r="39" spans="1:9" x14ac:dyDescent="0.3">
      <c r="A39" s="41">
        <v>46159</v>
      </c>
      <c r="B39" s="42">
        <v>0.79167824074074078</v>
      </c>
      <c r="C39" t="s">
        <v>218</v>
      </c>
      <c r="D39" t="s">
        <v>229</v>
      </c>
      <c r="E39" t="s">
        <v>31</v>
      </c>
      <c r="F39" t="s">
        <v>7</v>
      </c>
      <c r="G39">
        <v>-100000</v>
      </c>
      <c r="H39" t="s">
        <v>220</v>
      </c>
      <c r="I39" t="s">
        <v>57</v>
      </c>
    </row>
    <row r="40" spans="1:9" x14ac:dyDescent="0.3">
      <c r="A40" s="41">
        <v>46158</v>
      </c>
      <c r="B40" s="42">
        <v>0.35751157407407408</v>
      </c>
      <c r="C40" t="s">
        <v>221</v>
      </c>
      <c r="D40" t="s">
        <v>42</v>
      </c>
      <c r="E40" t="s">
        <v>222</v>
      </c>
      <c r="F40" t="s">
        <v>259</v>
      </c>
      <c r="G40">
        <v>-4800</v>
      </c>
      <c r="H40" t="s">
        <v>220</v>
      </c>
      <c r="I40" t="s">
        <v>225</v>
      </c>
    </row>
    <row r="41" spans="1:9" x14ac:dyDescent="0.3">
      <c r="A41" s="41">
        <v>46158</v>
      </c>
      <c r="B41" s="42">
        <v>0.12119212962962959</v>
      </c>
      <c r="C41" t="s">
        <v>218</v>
      </c>
      <c r="D41" t="s">
        <v>74</v>
      </c>
      <c r="E41" t="s">
        <v>31</v>
      </c>
      <c r="F41" t="s">
        <v>260</v>
      </c>
      <c r="G41">
        <v>312</v>
      </c>
      <c r="H41" t="s">
        <v>220</v>
      </c>
      <c r="I41" t="s">
        <v>60</v>
      </c>
    </row>
    <row r="42" spans="1:9" x14ac:dyDescent="0.3">
      <c r="A42" s="41">
        <v>46157</v>
      </c>
      <c r="B42" s="42">
        <v>0.3830324074074074</v>
      </c>
      <c r="C42" t="s">
        <v>233</v>
      </c>
      <c r="D42" t="s">
        <v>29</v>
      </c>
      <c r="E42" t="s">
        <v>31</v>
      </c>
      <c r="F42" t="s">
        <v>261</v>
      </c>
      <c r="G42">
        <v>2913060</v>
      </c>
      <c r="H42" t="s">
        <v>220</v>
      </c>
      <c r="I42" t="s">
        <v>57</v>
      </c>
    </row>
    <row r="43" spans="1:9" x14ac:dyDescent="0.3">
      <c r="A43" s="41">
        <v>46155</v>
      </c>
      <c r="B43" s="42">
        <v>0.58612268518518518</v>
      </c>
      <c r="C43" t="s">
        <v>221</v>
      </c>
      <c r="D43" t="s">
        <v>45</v>
      </c>
      <c r="E43" t="s">
        <v>262</v>
      </c>
      <c r="F43" t="s">
        <v>263</v>
      </c>
      <c r="G43">
        <v>-22000</v>
      </c>
      <c r="H43" t="s">
        <v>220</v>
      </c>
      <c r="I43" t="s">
        <v>225</v>
      </c>
    </row>
    <row r="44" spans="1:9" x14ac:dyDescent="0.3">
      <c r="A44" s="41">
        <v>46153</v>
      </c>
      <c r="B44" s="42">
        <v>0.56628472222222226</v>
      </c>
      <c r="C44" t="s">
        <v>218</v>
      </c>
      <c r="D44" t="s">
        <v>229</v>
      </c>
      <c r="E44" t="s">
        <v>31</v>
      </c>
      <c r="F44" t="s">
        <v>7</v>
      </c>
      <c r="G44">
        <v>-5000</v>
      </c>
      <c r="H44" t="s">
        <v>220</v>
      </c>
      <c r="I44" t="s">
        <v>57</v>
      </c>
    </row>
    <row r="45" spans="1:9" x14ac:dyDescent="0.3">
      <c r="A45" s="41">
        <v>46151</v>
      </c>
      <c r="B45" s="42">
        <v>0.59317129629629628</v>
      </c>
      <c r="C45" t="s">
        <v>218</v>
      </c>
      <c r="D45" t="s">
        <v>31</v>
      </c>
      <c r="E45" t="s">
        <v>31</v>
      </c>
      <c r="F45" t="s">
        <v>264</v>
      </c>
      <c r="G45">
        <v>16160000</v>
      </c>
      <c r="H45" t="s">
        <v>220</v>
      </c>
      <c r="I45" t="s">
        <v>265</v>
      </c>
    </row>
    <row r="46" spans="1:9" x14ac:dyDescent="0.3">
      <c r="A46" s="41">
        <v>46151</v>
      </c>
      <c r="B46" s="42">
        <v>3.6921296296296299E-2</v>
      </c>
      <c r="C46" t="s">
        <v>218</v>
      </c>
      <c r="D46" t="s">
        <v>31</v>
      </c>
      <c r="E46" t="s">
        <v>31</v>
      </c>
      <c r="F46" t="s">
        <v>230</v>
      </c>
      <c r="G46">
        <v>4284</v>
      </c>
      <c r="H46" t="s">
        <v>220</v>
      </c>
      <c r="I46" t="s">
        <v>62</v>
      </c>
    </row>
    <row r="47" spans="1:9" x14ac:dyDescent="0.3">
      <c r="A47" s="41">
        <v>46151</v>
      </c>
      <c r="B47" s="42">
        <v>3.667824074074074E-2</v>
      </c>
      <c r="C47" t="s">
        <v>218</v>
      </c>
      <c r="D47" t="s">
        <v>31</v>
      </c>
      <c r="E47" t="s">
        <v>31</v>
      </c>
      <c r="F47" t="s">
        <v>230</v>
      </c>
      <c r="G47">
        <v>509</v>
      </c>
      <c r="H47" t="s">
        <v>220</v>
      </c>
      <c r="I47" t="s">
        <v>57</v>
      </c>
    </row>
    <row r="48" spans="1:9" x14ac:dyDescent="0.3">
      <c r="A48" s="41">
        <v>46151</v>
      </c>
      <c r="B48" s="42">
        <v>3.3321759259259259E-2</v>
      </c>
      <c r="C48" t="s">
        <v>218</v>
      </c>
      <c r="D48" t="s">
        <v>31</v>
      </c>
      <c r="E48" t="s">
        <v>31</v>
      </c>
      <c r="F48" t="s">
        <v>230</v>
      </c>
      <c r="G48">
        <v>38</v>
      </c>
      <c r="H48" t="s">
        <v>220</v>
      </c>
      <c r="I48" t="s">
        <v>56</v>
      </c>
    </row>
    <row r="49" spans="1:9" x14ac:dyDescent="0.3">
      <c r="A49" s="41">
        <v>46150</v>
      </c>
      <c r="B49" s="42">
        <v>0.57694444444444448</v>
      </c>
      <c r="C49" t="s">
        <v>221</v>
      </c>
      <c r="D49" t="s">
        <v>40</v>
      </c>
      <c r="E49" t="s">
        <v>226</v>
      </c>
      <c r="F49" t="s">
        <v>227</v>
      </c>
      <c r="G49">
        <v>-1990</v>
      </c>
      <c r="H49" t="s">
        <v>220</v>
      </c>
      <c r="I49" t="s">
        <v>228</v>
      </c>
    </row>
    <row r="50" spans="1:9" x14ac:dyDescent="0.3">
      <c r="A50" s="41">
        <v>46150</v>
      </c>
      <c r="B50" s="42">
        <v>0.57693287037037033</v>
      </c>
      <c r="C50" t="s">
        <v>221</v>
      </c>
      <c r="D50" t="s">
        <v>42</v>
      </c>
      <c r="E50" t="s">
        <v>223</v>
      </c>
      <c r="F50" t="s">
        <v>224</v>
      </c>
      <c r="G50">
        <v>-1990</v>
      </c>
      <c r="H50" t="s">
        <v>220</v>
      </c>
      <c r="I50" t="s">
        <v>225</v>
      </c>
    </row>
    <row r="51" spans="1:9" x14ac:dyDescent="0.3">
      <c r="A51" s="41">
        <v>46148</v>
      </c>
      <c r="B51" s="42">
        <v>0.84466435185185185</v>
      </c>
      <c r="C51" t="s">
        <v>218</v>
      </c>
      <c r="D51" t="s">
        <v>229</v>
      </c>
      <c r="E51" t="s">
        <v>31</v>
      </c>
      <c r="F51" t="s">
        <v>7</v>
      </c>
      <c r="G51">
        <v>-3000</v>
      </c>
      <c r="H51" t="s">
        <v>220</v>
      </c>
      <c r="I51" t="s">
        <v>57</v>
      </c>
    </row>
    <row r="52" spans="1:9" x14ac:dyDescent="0.3">
      <c r="A52" s="41">
        <v>46148</v>
      </c>
      <c r="B52" s="42">
        <v>0.84439814814814818</v>
      </c>
      <c r="C52" t="s">
        <v>218</v>
      </c>
      <c r="D52" t="s">
        <v>229</v>
      </c>
      <c r="E52" t="s">
        <v>31</v>
      </c>
      <c r="F52" t="s">
        <v>7</v>
      </c>
      <c r="G52">
        <v>-15000</v>
      </c>
      <c r="H52" t="s">
        <v>220</v>
      </c>
      <c r="I52" t="s">
        <v>57</v>
      </c>
    </row>
    <row r="53" spans="1:9" x14ac:dyDescent="0.3">
      <c r="A53" s="41">
        <v>46147</v>
      </c>
      <c r="B53" s="42">
        <v>0.76817129629629632</v>
      </c>
      <c r="C53" t="s">
        <v>218</v>
      </c>
      <c r="D53" t="s">
        <v>218</v>
      </c>
      <c r="E53" t="s">
        <v>31</v>
      </c>
      <c r="F53" t="s">
        <v>266</v>
      </c>
      <c r="G53">
        <v>-50000</v>
      </c>
      <c r="H53" t="s">
        <v>220</v>
      </c>
      <c r="I53" t="s">
        <v>57</v>
      </c>
    </row>
    <row r="54" spans="1:9" x14ac:dyDescent="0.3">
      <c r="A54" s="41">
        <v>46146</v>
      </c>
      <c r="B54" s="42">
        <v>0.34054398148148152</v>
      </c>
      <c r="C54" t="s">
        <v>218</v>
      </c>
      <c r="D54" t="s">
        <v>229</v>
      </c>
      <c r="E54" t="s">
        <v>31</v>
      </c>
      <c r="F54" t="s">
        <v>232</v>
      </c>
      <c r="G54">
        <v>-100000</v>
      </c>
      <c r="H54" t="s">
        <v>220</v>
      </c>
      <c r="I54" t="s">
        <v>60</v>
      </c>
    </row>
    <row r="55" spans="1:9" x14ac:dyDescent="0.3">
      <c r="A55" s="41">
        <v>46146</v>
      </c>
      <c r="B55" s="42">
        <v>0.34054398148148152</v>
      </c>
      <c r="C55" t="s">
        <v>218</v>
      </c>
      <c r="D55" t="s">
        <v>229</v>
      </c>
      <c r="E55" t="s">
        <v>31</v>
      </c>
      <c r="F55" t="s">
        <v>231</v>
      </c>
      <c r="G55">
        <v>100000</v>
      </c>
      <c r="H55" t="s">
        <v>220</v>
      </c>
      <c r="I55" t="s">
        <v>78</v>
      </c>
    </row>
    <row r="56" spans="1:9" x14ac:dyDescent="0.3">
      <c r="A56" s="41">
        <v>46144</v>
      </c>
      <c r="B56" s="42">
        <v>0.66886574074074079</v>
      </c>
      <c r="C56" t="s">
        <v>221</v>
      </c>
      <c r="D56" t="s">
        <v>39</v>
      </c>
      <c r="E56" t="s">
        <v>245</v>
      </c>
      <c r="F56" t="s">
        <v>267</v>
      </c>
      <c r="G56">
        <v>0</v>
      </c>
      <c r="H56" t="s">
        <v>220</v>
      </c>
      <c r="I56" t="s">
        <v>268</v>
      </c>
    </row>
    <row r="57" spans="1:9" x14ac:dyDescent="0.3">
      <c r="A57" s="41">
        <v>46143</v>
      </c>
      <c r="B57" s="42">
        <v>0.81559027777777782</v>
      </c>
      <c r="C57" t="s">
        <v>218</v>
      </c>
      <c r="D57" t="s">
        <v>31</v>
      </c>
      <c r="E57" t="s">
        <v>31</v>
      </c>
      <c r="F57" t="s">
        <v>230</v>
      </c>
      <c r="G57">
        <v>250000</v>
      </c>
      <c r="H57" t="s">
        <v>220</v>
      </c>
      <c r="I57" t="s">
        <v>57</v>
      </c>
    </row>
    <row r="58" spans="1:9" x14ac:dyDescent="0.3">
      <c r="A58" s="41">
        <v>46143</v>
      </c>
      <c r="B58" s="42">
        <v>0.27805555555555561</v>
      </c>
      <c r="C58" t="s">
        <v>233</v>
      </c>
      <c r="D58" t="s">
        <v>28</v>
      </c>
      <c r="E58" t="s">
        <v>31</v>
      </c>
      <c r="F58" t="s">
        <v>234</v>
      </c>
      <c r="G58">
        <v>31</v>
      </c>
      <c r="H58" t="s">
        <v>220</v>
      </c>
      <c r="I58" t="s">
        <v>63</v>
      </c>
    </row>
    <row r="59" spans="1:9" x14ac:dyDescent="0.3">
      <c r="A59" s="41">
        <v>46143</v>
      </c>
      <c r="B59" s="42">
        <v>0.14003472222222221</v>
      </c>
      <c r="C59" t="s">
        <v>233</v>
      </c>
      <c r="D59" t="s">
        <v>28</v>
      </c>
      <c r="E59" t="s">
        <v>31</v>
      </c>
      <c r="F59" t="s">
        <v>235</v>
      </c>
      <c r="G59">
        <v>2</v>
      </c>
      <c r="H59" t="s">
        <v>220</v>
      </c>
      <c r="I59" t="s">
        <v>70</v>
      </c>
    </row>
    <row r="60" spans="1:9" x14ac:dyDescent="0.3">
      <c r="A60" s="41">
        <v>46143</v>
      </c>
      <c r="B60" s="42">
        <v>0.1114467592592593</v>
      </c>
      <c r="C60" t="s">
        <v>233</v>
      </c>
      <c r="D60" t="s">
        <v>28</v>
      </c>
      <c r="E60" t="s">
        <v>31</v>
      </c>
      <c r="F60" t="s">
        <v>236</v>
      </c>
      <c r="G60">
        <v>0</v>
      </c>
      <c r="H60" t="s">
        <v>220</v>
      </c>
      <c r="I60" t="s">
        <v>64</v>
      </c>
    </row>
    <row r="61" spans="1:9" x14ac:dyDescent="0.3">
      <c r="A61" s="41">
        <v>46142</v>
      </c>
      <c r="B61" s="42">
        <v>0.41695601851851849</v>
      </c>
      <c r="C61" t="s">
        <v>218</v>
      </c>
      <c r="D61" t="s">
        <v>229</v>
      </c>
      <c r="E61" t="s">
        <v>31</v>
      </c>
      <c r="F61" t="s">
        <v>7</v>
      </c>
      <c r="G61">
        <v>-100000</v>
      </c>
      <c r="H61" t="s">
        <v>220</v>
      </c>
      <c r="I61" t="s">
        <v>62</v>
      </c>
    </row>
    <row r="62" spans="1:9" x14ac:dyDescent="0.3">
      <c r="A62" s="41">
        <v>46142</v>
      </c>
      <c r="B62" s="42">
        <v>0.41695601851851849</v>
      </c>
      <c r="C62" t="s">
        <v>218</v>
      </c>
      <c r="D62" t="s">
        <v>229</v>
      </c>
      <c r="E62" t="s">
        <v>31</v>
      </c>
      <c r="F62" t="s">
        <v>237</v>
      </c>
      <c r="G62">
        <v>100000</v>
      </c>
      <c r="H62" t="s">
        <v>220</v>
      </c>
      <c r="I62" t="s">
        <v>60</v>
      </c>
    </row>
    <row r="63" spans="1:9" x14ac:dyDescent="0.3">
      <c r="A63" s="41">
        <v>46142</v>
      </c>
      <c r="B63" s="42">
        <v>0.38250000000000001</v>
      </c>
      <c r="C63" t="s">
        <v>218</v>
      </c>
      <c r="D63" t="s">
        <v>238</v>
      </c>
      <c r="E63" t="s">
        <v>31</v>
      </c>
      <c r="F63" t="s">
        <v>269</v>
      </c>
      <c r="G63">
        <v>943430</v>
      </c>
      <c r="H63" t="s">
        <v>220</v>
      </c>
      <c r="I63" t="s">
        <v>56</v>
      </c>
    </row>
    <row r="64" spans="1:9" x14ac:dyDescent="0.3">
      <c r="A64" s="41">
        <v>46141</v>
      </c>
      <c r="B64" s="42">
        <v>0.53893518518518524</v>
      </c>
      <c r="C64" t="s">
        <v>218</v>
      </c>
      <c r="D64" t="s">
        <v>238</v>
      </c>
      <c r="E64" t="s">
        <v>31</v>
      </c>
      <c r="F64" t="s">
        <v>270</v>
      </c>
      <c r="G64">
        <v>3000</v>
      </c>
      <c r="H64" t="s">
        <v>220</v>
      </c>
      <c r="I64" t="s">
        <v>70</v>
      </c>
    </row>
    <row r="65" spans="1:9" x14ac:dyDescent="0.3">
      <c r="A65" s="41">
        <v>46141</v>
      </c>
      <c r="B65" s="42">
        <v>0.53528935185185189</v>
      </c>
      <c r="C65" t="s">
        <v>221</v>
      </c>
      <c r="D65" t="s">
        <v>37</v>
      </c>
      <c r="E65" t="s">
        <v>271</v>
      </c>
      <c r="F65" t="s">
        <v>272</v>
      </c>
      <c r="G65">
        <v>-10000</v>
      </c>
      <c r="H65" t="s">
        <v>220</v>
      </c>
      <c r="I65" t="s">
        <v>273</v>
      </c>
    </row>
    <row r="66" spans="1:9" x14ac:dyDescent="0.3">
      <c r="A66" s="41">
        <v>46141</v>
      </c>
      <c r="B66" s="42">
        <v>0.53528935185185189</v>
      </c>
      <c r="C66" t="s">
        <v>218</v>
      </c>
      <c r="D66" t="s">
        <v>229</v>
      </c>
      <c r="E66" t="s">
        <v>31</v>
      </c>
      <c r="F66" t="s">
        <v>7</v>
      </c>
      <c r="G66">
        <v>10000</v>
      </c>
      <c r="H66" t="s">
        <v>220</v>
      </c>
      <c r="I66" t="s">
        <v>57</v>
      </c>
    </row>
    <row r="67" spans="1:9" x14ac:dyDescent="0.3">
      <c r="A67" s="41">
        <v>46141</v>
      </c>
      <c r="B67" s="42">
        <v>0.53401620370370373</v>
      </c>
      <c r="C67" t="s">
        <v>218</v>
      </c>
      <c r="D67" t="s">
        <v>229</v>
      </c>
      <c r="E67" t="s">
        <v>31</v>
      </c>
      <c r="F67" t="s">
        <v>274</v>
      </c>
      <c r="G67">
        <v>10000</v>
      </c>
      <c r="H67" t="s">
        <v>220</v>
      </c>
      <c r="I67" t="s">
        <v>275</v>
      </c>
    </row>
    <row r="68" spans="1:9" x14ac:dyDescent="0.3">
      <c r="A68" s="41">
        <v>46141</v>
      </c>
      <c r="B68" s="42">
        <v>0.53401620370370373</v>
      </c>
      <c r="C68" t="s">
        <v>218</v>
      </c>
      <c r="D68" t="s">
        <v>229</v>
      </c>
      <c r="E68" t="s">
        <v>31</v>
      </c>
      <c r="F68" t="s">
        <v>276</v>
      </c>
      <c r="G68">
        <v>-10000</v>
      </c>
      <c r="H68" t="s">
        <v>220</v>
      </c>
      <c r="I68" t="s">
        <v>70</v>
      </c>
    </row>
    <row r="69" spans="1:9" x14ac:dyDescent="0.3">
      <c r="A69" s="41">
        <v>46141</v>
      </c>
      <c r="B69" s="42">
        <v>0.53378472222222217</v>
      </c>
      <c r="C69" t="s">
        <v>218</v>
      </c>
      <c r="D69" t="s">
        <v>229</v>
      </c>
      <c r="E69" t="s">
        <v>31</v>
      </c>
      <c r="F69" t="s">
        <v>7</v>
      </c>
      <c r="G69">
        <v>-10000</v>
      </c>
      <c r="H69" t="s">
        <v>220</v>
      </c>
      <c r="I69" t="s">
        <v>57</v>
      </c>
    </row>
    <row r="70" spans="1:9" x14ac:dyDescent="0.3">
      <c r="A70" s="41">
        <v>46141</v>
      </c>
      <c r="B70" s="42">
        <v>0.53378472222222217</v>
      </c>
      <c r="C70" t="s">
        <v>218</v>
      </c>
      <c r="D70" t="s">
        <v>229</v>
      </c>
      <c r="E70" t="s">
        <v>31</v>
      </c>
      <c r="F70" t="s">
        <v>7</v>
      </c>
      <c r="G70">
        <v>10000</v>
      </c>
      <c r="H70" t="s">
        <v>220</v>
      </c>
      <c r="I70" t="s">
        <v>70</v>
      </c>
    </row>
    <row r="71" spans="1:9" x14ac:dyDescent="0.3">
      <c r="A71" s="41">
        <v>46141</v>
      </c>
      <c r="B71" s="42">
        <v>0.53287037037037033</v>
      </c>
      <c r="C71" t="s">
        <v>218</v>
      </c>
      <c r="D71" t="s">
        <v>74</v>
      </c>
      <c r="E71" t="s">
        <v>31</v>
      </c>
      <c r="F71" t="s">
        <v>277</v>
      </c>
      <c r="G71">
        <v>1</v>
      </c>
      <c r="H71" t="s">
        <v>220</v>
      </c>
      <c r="I71" t="s">
        <v>70</v>
      </c>
    </row>
    <row r="72" spans="1:9" x14ac:dyDescent="0.3">
      <c r="A72" s="41">
        <v>46140</v>
      </c>
      <c r="B72" s="42">
        <v>0.60163194444444446</v>
      </c>
      <c r="C72" t="s">
        <v>218</v>
      </c>
      <c r="D72" t="s">
        <v>229</v>
      </c>
      <c r="E72" t="s">
        <v>31</v>
      </c>
      <c r="F72" t="s">
        <v>7</v>
      </c>
      <c r="G72">
        <v>-52000</v>
      </c>
      <c r="H72" t="s">
        <v>220</v>
      </c>
      <c r="I72" t="s">
        <v>57</v>
      </c>
    </row>
    <row r="73" spans="1:9" x14ac:dyDescent="0.3">
      <c r="A73" s="41">
        <v>46139</v>
      </c>
      <c r="B73" s="42">
        <v>0.33173611111111112</v>
      </c>
      <c r="C73" t="s">
        <v>218</v>
      </c>
      <c r="D73" t="s">
        <v>229</v>
      </c>
      <c r="E73" t="s">
        <v>31</v>
      </c>
      <c r="F73" t="s">
        <v>231</v>
      </c>
      <c r="G73">
        <v>200000</v>
      </c>
      <c r="H73" t="s">
        <v>220</v>
      </c>
      <c r="I73" t="s">
        <v>77</v>
      </c>
    </row>
    <row r="74" spans="1:9" x14ac:dyDescent="0.3">
      <c r="A74" s="41">
        <v>46139</v>
      </c>
      <c r="B74" s="42">
        <v>0.33173611111111112</v>
      </c>
      <c r="C74" t="s">
        <v>218</v>
      </c>
      <c r="D74" t="s">
        <v>229</v>
      </c>
      <c r="E74" t="s">
        <v>31</v>
      </c>
      <c r="F74" t="s">
        <v>232</v>
      </c>
      <c r="G74">
        <v>-200000</v>
      </c>
      <c r="H74" t="s">
        <v>220</v>
      </c>
      <c r="I74" t="s">
        <v>60</v>
      </c>
    </row>
    <row r="75" spans="1:9" x14ac:dyDescent="0.3">
      <c r="A75" s="41">
        <v>46137</v>
      </c>
      <c r="B75" s="42">
        <v>0.54615740740740737</v>
      </c>
      <c r="C75" t="s">
        <v>221</v>
      </c>
      <c r="D75" t="s">
        <v>39</v>
      </c>
      <c r="E75" t="s">
        <v>245</v>
      </c>
      <c r="F75" t="s">
        <v>246</v>
      </c>
      <c r="G75">
        <v>-5000</v>
      </c>
      <c r="H75" t="s">
        <v>220</v>
      </c>
      <c r="I75" t="s">
        <v>278</v>
      </c>
    </row>
    <row r="76" spans="1:9" x14ac:dyDescent="0.3">
      <c r="A76" s="41">
        <v>46137</v>
      </c>
      <c r="B76" s="42">
        <v>0.37324074074074082</v>
      </c>
      <c r="C76" t="s">
        <v>221</v>
      </c>
      <c r="D76" t="s">
        <v>40</v>
      </c>
      <c r="E76" t="s">
        <v>279</v>
      </c>
      <c r="F76" t="s">
        <v>280</v>
      </c>
      <c r="G76">
        <v>-17950</v>
      </c>
      <c r="H76" t="s">
        <v>220</v>
      </c>
      <c r="I76" t="s">
        <v>228</v>
      </c>
    </row>
    <row r="77" spans="1:9" x14ac:dyDescent="0.3">
      <c r="A77" s="41">
        <v>46137</v>
      </c>
      <c r="B77" s="42">
        <v>0.37324074074074082</v>
      </c>
      <c r="C77" t="s">
        <v>221</v>
      </c>
      <c r="D77" t="s">
        <v>36</v>
      </c>
      <c r="E77" t="s">
        <v>281</v>
      </c>
      <c r="F77" t="s">
        <v>282</v>
      </c>
      <c r="G77">
        <v>-17950</v>
      </c>
      <c r="H77" t="s">
        <v>220</v>
      </c>
      <c r="I77" t="s">
        <v>225</v>
      </c>
    </row>
    <row r="78" spans="1:9" x14ac:dyDescent="0.3">
      <c r="A78" s="41">
        <v>46137</v>
      </c>
      <c r="B78" s="42">
        <v>0.1822337962962963</v>
      </c>
      <c r="C78" t="s">
        <v>233</v>
      </c>
      <c r="D78" t="s">
        <v>28</v>
      </c>
      <c r="E78" t="s">
        <v>31</v>
      </c>
      <c r="F78" t="s">
        <v>234</v>
      </c>
      <c r="G78">
        <v>0</v>
      </c>
      <c r="H78" t="s">
        <v>220</v>
      </c>
      <c r="I78" t="s">
        <v>66</v>
      </c>
    </row>
    <row r="79" spans="1:9" x14ac:dyDescent="0.3">
      <c r="A79" s="41">
        <v>46137</v>
      </c>
      <c r="B79" s="42">
        <v>0.1336111111111111</v>
      </c>
      <c r="C79" t="s">
        <v>233</v>
      </c>
      <c r="D79" t="s">
        <v>28</v>
      </c>
      <c r="E79" t="s">
        <v>31</v>
      </c>
      <c r="F79" t="s">
        <v>248</v>
      </c>
      <c r="G79">
        <v>3</v>
      </c>
      <c r="H79" t="s">
        <v>220</v>
      </c>
      <c r="I79" t="s">
        <v>67</v>
      </c>
    </row>
    <row r="80" spans="1:9" x14ac:dyDescent="0.3">
      <c r="A80" s="41">
        <v>46137</v>
      </c>
      <c r="B80" s="42">
        <v>0.1210763888888889</v>
      </c>
      <c r="C80" t="s">
        <v>218</v>
      </c>
      <c r="D80" t="s">
        <v>238</v>
      </c>
      <c r="E80" t="s">
        <v>31</v>
      </c>
      <c r="F80" t="s">
        <v>249</v>
      </c>
      <c r="G80">
        <v>0</v>
      </c>
      <c r="H80" t="s">
        <v>220</v>
      </c>
      <c r="I80" t="s">
        <v>65</v>
      </c>
    </row>
    <row r="81" spans="1:9" x14ac:dyDescent="0.3">
      <c r="A81" s="41">
        <v>46137</v>
      </c>
      <c r="B81" s="42">
        <v>0.1022222222222222</v>
      </c>
      <c r="C81" t="s">
        <v>233</v>
      </c>
      <c r="D81" t="s">
        <v>28</v>
      </c>
      <c r="E81" t="s">
        <v>31</v>
      </c>
      <c r="F81" t="s">
        <v>250</v>
      </c>
      <c r="G81">
        <v>0</v>
      </c>
      <c r="H81" t="s">
        <v>220</v>
      </c>
      <c r="I81" t="s">
        <v>71</v>
      </c>
    </row>
    <row r="82" spans="1:9" x14ac:dyDescent="0.3">
      <c r="A82" s="41">
        <v>46136</v>
      </c>
      <c r="B82" s="42">
        <v>0.86888888888888893</v>
      </c>
      <c r="C82" t="s">
        <v>221</v>
      </c>
      <c r="D82" t="s">
        <v>36</v>
      </c>
      <c r="E82" t="s">
        <v>281</v>
      </c>
      <c r="F82" t="s">
        <v>283</v>
      </c>
      <c r="G82">
        <v>22358</v>
      </c>
      <c r="H82" t="s">
        <v>220</v>
      </c>
      <c r="I82" t="s">
        <v>225</v>
      </c>
    </row>
    <row r="83" spans="1:9" x14ac:dyDescent="0.3">
      <c r="A83" s="41">
        <v>46136</v>
      </c>
      <c r="B83" s="42">
        <v>0.8646180555555556</v>
      </c>
      <c r="C83" t="s">
        <v>221</v>
      </c>
      <c r="D83" t="s">
        <v>39</v>
      </c>
      <c r="E83" t="s">
        <v>284</v>
      </c>
      <c r="F83" t="s">
        <v>285</v>
      </c>
      <c r="G83">
        <v>22400</v>
      </c>
      <c r="H83" t="s">
        <v>220</v>
      </c>
      <c r="I83" t="s">
        <v>228</v>
      </c>
    </row>
    <row r="84" spans="1:9" x14ac:dyDescent="0.3">
      <c r="A84" s="41">
        <v>46136</v>
      </c>
      <c r="B84" s="42">
        <v>0.86460648148148145</v>
      </c>
      <c r="C84" t="s">
        <v>221</v>
      </c>
      <c r="D84" t="s">
        <v>36</v>
      </c>
      <c r="E84" t="s">
        <v>281</v>
      </c>
      <c r="F84" t="s">
        <v>283</v>
      </c>
      <c r="G84">
        <v>-22358</v>
      </c>
      <c r="H84" t="s">
        <v>220</v>
      </c>
      <c r="I84" t="s">
        <v>225</v>
      </c>
    </row>
    <row r="85" spans="1:9" x14ac:dyDescent="0.3">
      <c r="A85" s="41">
        <v>46136</v>
      </c>
      <c r="B85" s="42">
        <v>0.74827546296296299</v>
      </c>
      <c r="C85" t="s">
        <v>221</v>
      </c>
      <c r="D85" t="s">
        <v>44</v>
      </c>
      <c r="E85" t="s">
        <v>240</v>
      </c>
      <c r="F85" t="s">
        <v>241</v>
      </c>
      <c r="G85">
        <v>-280610</v>
      </c>
      <c r="H85" t="s">
        <v>220</v>
      </c>
      <c r="I85" t="s">
        <v>242</v>
      </c>
    </row>
    <row r="86" spans="1:9" x14ac:dyDescent="0.3">
      <c r="A86" s="41">
        <v>46136</v>
      </c>
      <c r="B86" s="42">
        <v>0.68892361111111111</v>
      </c>
      <c r="C86" t="s">
        <v>218</v>
      </c>
      <c r="D86" t="s">
        <v>31</v>
      </c>
      <c r="E86" t="s">
        <v>31</v>
      </c>
      <c r="F86" t="s">
        <v>230</v>
      </c>
      <c r="G86">
        <v>50000</v>
      </c>
      <c r="H86" t="s">
        <v>220</v>
      </c>
      <c r="I86" t="s">
        <v>57</v>
      </c>
    </row>
    <row r="87" spans="1:9" x14ac:dyDescent="0.3">
      <c r="A87" s="41">
        <v>46136</v>
      </c>
      <c r="B87" s="42">
        <v>0.50660879629629629</v>
      </c>
      <c r="C87" t="s">
        <v>221</v>
      </c>
      <c r="D87" t="s">
        <v>44</v>
      </c>
      <c r="E87" t="s">
        <v>243</v>
      </c>
      <c r="F87" t="s">
        <v>244</v>
      </c>
      <c r="G87">
        <v>-100</v>
      </c>
      <c r="H87" t="s">
        <v>220</v>
      </c>
      <c r="I87" t="s">
        <v>242</v>
      </c>
    </row>
    <row r="88" spans="1:9" x14ac:dyDescent="0.3">
      <c r="A88" s="41">
        <v>46136</v>
      </c>
      <c r="B88" s="42">
        <v>0.41678240740740741</v>
      </c>
      <c r="C88" t="s">
        <v>218</v>
      </c>
      <c r="D88" t="s">
        <v>229</v>
      </c>
      <c r="E88" t="s">
        <v>31</v>
      </c>
      <c r="F88" t="s">
        <v>237</v>
      </c>
      <c r="G88">
        <v>200000</v>
      </c>
      <c r="H88" t="s">
        <v>220</v>
      </c>
      <c r="I88" t="s">
        <v>60</v>
      </c>
    </row>
    <row r="89" spans="1:9" x14ac:dyDescent="0.3">
      <c r="A89" s="41">
        <v>46136</v>
      </c>
      <c r="B89" s="42">
        <v>0.41677083333333331</v>
      </c>
      <c r="C89" t="s">
        <v>218</v>
      </c>
      <c r="D89" t="s">
        <v>229</v>
      </c>
      <c r="E89" t="s">
        <v>31</v>
      </c>
      <c r="F89" t="s">
        <v>7</v>
      </c>
      <c r="G89">
        <v>-200000</v>
      </c>
      <c r="H89" t="s">
        <v>220</v>
      </c>
      <c r="I89" t="s">
        <v>62</v>
      </c>
    </row>
    <row r="90" spans="1:9" x14ac:dyDescent="0.3">
      <c r="A90" s="41">
        <v>46134</v>
      </c>
      <c r="B90" s="42">
        <v>0.66222222222222227</v>
      </c>
      <c r="C90" t="s">
        <v>218</v>
      </c>
      <c r="D90" t="s">
        <v>229</v>
      </c>
      <c r="E90" t="s">
        <v>31</v>
      </c>
      <c r="F90" t="s">
        <v>7</v>
      </c>
      <c r="G90">
        <v>-57500</v>
      </c>
      <c r="H90" t="s">
        <v>220</v>
      </c>
      <c r="I90" t="s">
        <v>57</v>
      </c>
    </row>
    <row r="91" spans="1:9" x14ac:dyDescent="0.3">
      <c r="A91" s="41">
        <v>46134</v>
      </c>
      <c r="B91" s="42">
        <v>0.66009259259259256</v>
      </c>
      <c r="C91" t="s">
        <v>218</v>
      </c>
      <c r="D91" t="s">
        <v>229</v>
      </c>
      <c r="E91" t="s">
        <v>31</v>
      </c>
      <c r="F91" t="s">
        <v>7</v>
      </c>
      <c r="G91">
        <v>-190000</v>
      </c>
      <c r="H91" t="s">
        <v>220</v>
      </c>
      <c r="I91" t="s">
        <v>57</v>
      </c>
    </row>
    <row r="92" spans="1:9" x14ac:dyDescent="0.3">
      <c r="A92" s="41">
        <v>46134</v>
      </c>
      <c r="B92" s="42">
        <v>0.42234953703703698</v>
      </c>
      <c r="C92" t="s">
        <v>218</v>
      </c>
      <c r="D92" t="s">
        <v>229</v>
      </c>
      <c r="E92" t="s">
        <v>31</v>
      </c>
      <c r="F92" t="s">
        <v>7</v>
      </c>
      <c r="G92">
        <v>2500000</v>
      </c>
      <c r="H92" t="s">
        <v>220</v>
      </c>
      <c r="I92" t="s">
        <v>76</v>
      </c>
    </row>
    <row r="93" spans="1:9" x14ac:dyDescent="0.3">
      <c r="A93" s="41">
        <v>46133</v>
      </c>
      <c r="B93" s="42">
        <v>0.52833333333333332</v>
      </c>
      <c r="C93" t="s">
        <v>221</v>
      </c>
      <c r="D93" t="s">
        <v>37</v>
      </c>
      <c r="E93" t="s">
        <v>255</v>
      </c>
      <c r="F93" t="s">
        <v>286</v>
      </c>
      <c r="G93">
        <v>-8640</v>
      </c>
      <c r="H93" t="s">
        <v>220</v>
      </c>
      <c r="I93" t="s">
        <v>225</v>
      </c>
    </row>
    <row r="94" spans="1:9" x14ac:dyDescent="0.3">
      <c r="A94" s="41">
        <v>46133</v>
      </c>
      <c r="B94" s="42">
        <v>0.38559027777777782</v>
      </c>
      <c r="C94" t="s">
        <v>221</v>
      </c>
      <c r="D94" t="s">
        <v>45</v>
      </c>
      <c r="E94" t="s">
        <v>287</v>
      </c>
      <c r="F94" t="s">
        <v>288</v>
      </c>
      <c r="G94">
        <v>81000</v>
      </c>
      <c r="H94" t="s">
        <v>220</v>
      </c>
      <c r="I94" t="s">
        <v>289</v>
      </c>
    </row>
    <row r="95" spans="1:9" x14ac:dyDescent="0.3">
      <c r="A95" s="41">
        <v>46132</v>
      </c>
      <c r="B95" s="42">
        <v>0.37840277777777781</v>
      </c>
      <c r="C95" t="s">
        <v>221</v>
      </c>
      <c r="D95" t="s">
        <v>44</v>
      </c>
      <c r="E95" t="s">
        <v>243</v>
      </c>
      <c r="F95" t="s">
        <v>251</v>
      </c>
      <c r="G95">
        <v>-36390</v>
      </c>
      <c r="H95" t="s">
        <v>220</v>
      </c>
      <c r="I95" t="s">
        <v>242</v>
      </c>
    </row>
    <row r="96" spans="1:9" x14ac:dyDescent="0.3">
      <c r="A96" s="41">
        <v>46131</v>
      </c>
      <c r="B96" s="42">
        <v>0.8121990740740741</v>
      </c>
      <c r="C96" t="s">
        <v>221</v>
      </c>
      <c r="D96" t="s">
        <v>42</v>
      </c>
      <c r="E96" t="s">
        <v>223</v>
      </c>
      <c r="F96" t="s">
        <v>258</v>
      </c>
      <c r="G96">
        <v>-954</v>
      </c>
      <c r="H96" t="s">
        <v>220</v>
      </c>
      <c r="I96" t="s">
        <v>228</v>
      </c>
    </row>
    <row r="97" spans="1:9" x14ac:dyDescent="0.3">
      <c r="A97" s="41">
        <v>46131</v>
      </c>
      <c r="B97" s="42">
        <v>0.81218749999999995</v>
      </c>
      <c r="C97" t="s">
        <v>221</v>
      </c>
      <c r="D97" t="s">
        <v>36</v>
      </c>
      <c r="E97" t="s">
        <v>281</v>
      </c>
      <c r="F97" t="s">
        <v>282</v>
      </c>
      <c r="G97">
        <v>-954</v>
      </c>
      <c r="H97" t="s">
        <v>220</v>
      </c>
      <c r="I97" t="s">
        <v>225</v>
      </c>
    </row>
    <row r="98" spans="1:9" x14ac:dyDescent="0.3">
      <c r="A98" s="41">
        <v>46131</v>
      </c>
      <c r="B98" s="42">
        <v>0.80435185185185187</v>
      </c>
      <c r="C98" t="s">
        <v>221</v>
      </c>
      <c r="D98" t="s">
        <v>42</v>
      </c>
      <c r="E98" t="s">
        <v>223</v>
      </c>
      <c r="F98" t="s">
        <v>258</v>
      </c>
      <c r="G98">
        <v>-2880</v>
      </c>
      <c r="H98" t="s">
        <v>220</v>
      </c>
      <c r="I98" t="s">
        <v>228</v>
      </c>
    </row>
    <row r="99" spans="1:9" x14ac:dyDescent="0.3">
      <c r="A99" s="41">
        <v>46131</v>
      </c>
      <c r="B99" s="42">
        <v>0.80435185185185187</v>
      </c>
      <c r="C99" t="s">
        <v>221</v>
      </c>
      <c r="D99" t="s">
        <v>36</v>
      </c>
      <c r="E99" t="s">
        <v>281</v>
      </c>
      <c r="F99" t="s">
        <v>282</v>
      </c>
      <c r="G99">
        <v>-2880</v>
      </c>
      <c r="H99" t="s">
        <v>220</v>
      </c>
      <c r="I99" t="s">
        <v>225</v>
      </c>
    </row>
    <row r="100" spans="1:9" x14ac:dyDescent="0.3">
      <c r="A100" s="41">
        <v>46131</v>
      </c>
      <c r="B100" s="42">
        <v>0.61746527777777782</v>
      </c>
      <c r="C100" t="s">
        <v>221</v>
      </c>
      <c r="D100" t="s">
        <v>42</v>
      </c>
      <c r="E100" t="s">
        <v>223</v>
      </c>
      <c r="F100" t="s">
        <v>258</v>
      </c>
      <c r="G100">
        <v>-2804</v>
      </c>
      <c r="H100" t="s">
        <v>220</v>
      </c>
      <c r="I100" t="s">
        <v>228</v>
      </c>
    </row>
    <row r="101" spans="1:9" x14ac:dyDescent="0.3">
      <c r="A101" s="41">
        <v>46131</v>
      </c>
      <c r="B101" s="42">
        <v>0.61746527777777782</v>
      </c>
      <c r="C101" t="s">
        <v>221</v>
      </c>
      <c r="D101" t="s">
        <v>36</v>
      </c>
      <c r="E101" t="s">
        <v>281</v>
      </c>
      <c r="F101" t="s">
        <v>282</v>
      </c>
      <c r="G101">
        <v>-2804</v>
      </c>
      <c r="H101" t="s">
        <v>220</v>
      </c>
      <c r="I101" t="s">
        <v>225</v>
      </c>
    </row>
    <row r="102" spans="1:9" x14ac:dyDescent="0.3">
      <c r="A102" s="41">
        <v>46131</v>
      </c>
      <c r="B102" s="42">
        <v>0.61690972222222218</v>
      </c>
      <c r="C102" t="s">
        <v>221</v>
      </c>
      <c r="D102" t="s">
        <v>42</v>
      </c>
      <c r="E102" t="s">
        <v>222</v>
      </c>
      <c r="F102" t="s">
        <v>259</v>
      </c>
      <c r="G102">
        <v>-2880</v>
      </c>
      <c r="H102" t="s">
        <v>220</v>
      </c>
      <c r="I102" t="s">
        <v>225</v>
      </c>
    </row>
    <row r="103" spans="1:9" x14ac:dyDescent="0.3">
      <c r="A103" s="41">
        <v>46130</v>
      </c>
      <c r="B103" s="42">
        <v>8.1284722222222217E-2</v>
      </c>
      <c r="C103" t="s">
        <v>218</v>
      </c>
      <c r="D103" t="s">
        <v>74</v>
      </c>
      <c r="E103" t="s">
        <v>31</v>
      </c>
      <c r="F103" t="s">
        <v>260</v>
      </c>
      <c r="G103">
        <v>283</v>
      </c>
      <c r="H103" t="s">
        <v>220</v>
      </c>
      <c r="I103" t="s">
        <v>60</v>
      </c>
    </row>
    <row r="104" spans="1:9" x14ac:dyDescent="0.3">
      <c r="A104" s="41">
        <v>46129</v>
      </c>
      <c r="B104" s="42">
        <v>0.79168981481481482</v>
      </c>
      <c r="C104" t="s">
        <v>218</v>
      </c>
      <c r="D104" t="s">
        <v>229</v>
      </c>
      <c r="E104" t="s">
        <v>31</v>
      </c>
      <c r="F104" t="s">
        <v>7</v>
      </c>
      <c r="G104">
        <v>100000</v>
      </c>
      <c r="H104" t="s">
        <v>220</v>
      </c>
      <c r="I104" t="s">
        <v>62</v>
      </c>
    </row>
    <row r="105" spans="1:9" x14ac:dyDescent="0.3">
      <c r="A105" s="41">
        <v>46129</v>
      </c>
      <c r="B105" s="42">
        <v>0.79168981481481482</v>
      </c>
      <c r="C105" t="s">
        <v>218</v>
      </c>
      <c r="D105" t="s">
        <v>229</v>
      </c>
      <c r="E105" t="s">
        <v>31</v>
      </c>
      <c r="F105" t="s">
        <v>7</v>
      </c>
      <c r="G105">
        <v>-2000000</v>
      </c>
      <c r="H105" t="s">
        <v>220</v>
      </c>
      <c r="I105" t="s">
        <v>57</v>
      </c>
    </row>
    <row r="106" spans="1:9" x14ac:dyDescent="0.3">
      <c r="A106" s="41">
        <v>46129</v>
      </c>
      <c r="B106" s="42">
        <v>0.79168981481481482</v>
      </c>
      <c r="C106" t="s">
        <v>218</v>
      </c>
      <c r="D106" t="s">
        <v>229</v>
      </c>
      <c r="E106" t="s">
        <v>31</v>
      </c>
      <c r="F106" t="s">
        <v>7</v>
      </c>
      <c r="G106">
        <v>-500000</v>
      </c>
      <c r="H106" t="s">
        <v>220</v>
      </c>
      <c r="I106" t="s">
        <v>57</v>
      </c>
    </row>
    <row r="107" spans="1:9" x14ac:dyDescent="0.3">
      <c r="A107" s="41">
        <v>46129</v>
      </c>
      <c r="B107" s="42">
        <v>0.79168981481481482</v>
      </c>
      <c r="C107" t="s">
        <v>218</v>
      </c>
      <c r="D107" t="s">
        <v>229</v>
      </c>
      <c r="E107" t="s">
        <v>31</v>
      </c>
      <c r="F107" t="s">
        <v>7</v>
      </c>
      <c r="G107">
        <v>-100000</v>
      </c>
      <c r="H107" t="s">
        <v>220</v>
      </c>
      <c r="I107" t="s">
        <v>57</v>
      </c>
    </row>
    <row r="108" spans="1:9" x14ac:dyDescent="0.3">
      <c r="A108" s="41">
        <v>46129</v>
      </c>
      <c r="B108" s="42">
        <v>0.75328703703703703</v>
      </c>
      <c r="C108" t="s">
        <v>218</v>
      </c>
      <c r="D108" t="s">
        <v>252</v>
      </c>
      <c r="E108" t="s">
        <v>31</v>
      </c>
      <c r="F108" t="s">
        <v>253</v>
      </c>
      <c r="G108">
        <v>-49980</v>
      </c>
      <c r="H108" t="s">
        <v>220</v>
      </c>
      <c r="I108" t="s">
        <v>57</v>
      </c>
    </row>
    <row r="109" spans="1:9" x14ac:dyDescent="0.3">
      <c r="A109" s="41">
        <v>46129</v>
      </c>
      <c r="B109" s="42">
        <v>0.51034722222222217</v>
      </c>
      <c r="C109" t="s">
        <v>218</v>
      </c>
      <c r="D109" t="s">
        <v>229</v>
      </c>
      <c r="E109" t="s">
        <v>31</v>
      </c>
      <c r="F109" t="s">
        <v>7</v>
      </c>
      <c r="G109">
        <v>26698</v>
      </c>
      <c r="H109" t="s">
        <v>220</v>
      </c>
      <c r="I109" t="s">
        <v>57</v>
      </c>
    </row>
    <row r="110" spans="1:9" x14ac:dyDescent="0.3">
      <c r="A110" s="41">
        <v>46129</v>
      </c>
      <c r="B110" s="42">
        <v>0.51033564814814814</v>
      </c>
      <c r="C110" t="s">
        <v>221</v>
      </c>
      <c r="D110" t="s">
        <v>37</v>
      </c>
      <c r="E110" t="s">
        <v>271</v>
      </c>
      <c r="F110" t="s">
        <v>272</v>
      </c>
      <c r="G110">
        <v>-26698</v>
      </c>
      <c r="H110" t="s">
        <v>220</v>
      </c>
      <c r="I110" t="s">
        <v>273</v>
      </c>
    </row>
    <row r="111" spans="1:9" x14ac:dyDescent="0.3">
      <c r="A111" s="41">
        <v>46129</v>
      </c>
      <c r="B111" s="42">
        <v>0.38324074074074072</v>
      </c>
      <c r="C111" t="s">
        <v>233</v>
      </c>
      <c r="D111" t="s">
        <v>29</v>
      </c>
      <c r="E111" t="s">
        <v>31</v>
      </c>
      <c r="F111" t="s">
        <v>290</v>
      </c>
      <c r="G111">
        <v>2842230</v>
      </c>
      <c r="H111" t="s">
        <v>220</v>
      </c>
      <c r="I111" t="s">
        <v>57</v>
      </c>
    </row>
    <row r="112" spans="1:9" x14ac:dyDescent="0.3">
      <c r="A112" s="41">
        <v>46129</v>
      </c>
      <c r="B112" s="42">
        <v>0.38254629629629627</v>
      </c>
      <c r="C112" t="s">
        <v>218</v>
      </c>
      <c r="D112" t="s">
        <v>229</v>
      </c>
      <c r="E112" t="s">
        <v>31</v>
      </c>
      <c r="F112" t="s">
        <v>274</v>
      </c>
      <c r="G112">
        <v>14896</v>
      </c>
      <c r="H112" t="s">
        <v>220</v>
      </c>
      <c r="I112" t="s">
        <v>275</v>
      </c>
    </row>
    <row r="113" spans="1:9" x14ac:dyDescent="0.3">
      <c r="A113" s="41">
        <v>46129</v>
      </c>
      <c r="B113" s="42">
        <v>0.38253472222222218</v>
      </c>
      <c r="C113" t="s">
        <v>221</v>
      </c>
      <c r="D113" t="s">
        <v>42</v>
      </c>
      <c r="E113" t="s">
        <v>222</v>
      </c>
      <c r="F113" t="s">
        <v>291</v>
      </c>
      <c r="G113">
        <v>4467</v>
      </c>
      <c r="H113" t="s">
        <v>220</v>
      </c>
      <c r="I113" t="s">
        <v>225</v>
      </c>
    </row>
    <row r="114" spans="1:9" x14ac:dyDescent="0.3">
      <c r="A114" s="41">
        <v>46129</v>
      </c>
      <c r="B114" s="42">
        <v>0.38253472222222218</v>
      </c>
      <c r="C114" t="s">
        <v>221</v>
      </c>
      <c r="D114" t="s">
        <v>42</v>
      </c>
      <c r="E114" t="s">
        <v>222</v>
      </c>
      <c r="F114" t="s">
        <v>291</v>
      </c>
      <c r="G114">
        <v>11802</v>
      </c>
      <c r="H114" t="s">
        <v>220</v>
      </c>
      <c r="I114" t="s">
        <v>273</v>
      </c>
    </row>
    <row r="115" spans="1:9" x14ac:dyDescent="0.3">
      <c r="A115" s="41">
        <v>46127</v>
      </c>
      <c r="B115" s="42">
        <v>0.37466435185185187</v>
      </c>
      <c r="C115" t="s">
        <v>218</v>
      </c>
      <c r="D115" t="s">
        <v>229</v>
      </c>
      <c r="E115" t="s">
        <v>31</v>
      </c>
      <c r="F115" t="s">
        <v>7</v>
      </c>
      <c r="G115">
        <v>8198</v>
      </c>
      <c r="H115" t="s">
        <v>220</v>
      </c>
      <c r="I115" t="s">
        <v>57</v>
      </c>
    </row>
    <row r="116" spans="1:9" x14ac:dyDescent="0.3">
      <c r="A116" s="41">
        <v>46127</v>
      </c>
      <c r="B116" s="42">
        <v>0.37465277777777778</v>
      </c>
      <c r="C116" t="s">
        <v>221</v>
      </c>
      <c r="D116" t="s">
        <v>37</v>
      </c>
      <c r="E116" t="s">
        <v>271</v>
      </c>
      <c r="F116" t="s">
        <v>272</v>
      </c>
      <c r="G116">
        <v>-8198</v>
      </c>
      <c r="H116" t="s">
        <v>220</v>
      </c>
      <c r="I116" t="s">
        <v>273</v>
      </c>
    </row>
    <row r="117" spans="1:9" x14ac:dyDescent="0.3">
      <c r="A117" s="41">
        <v>46127</v>
      </c>
      <c r="B117" s="42">
        <v>0.37133101851851852</v>
      </c>
      <c r="C117" t="s">
        <v>221</v>
      </c>
      <c r="D117" t="s">
        <v>42</v>
      </c>
      <c r="E117" t="s">
        <v>222</v>
      </c>
      <c r="F117" t="s">
        <v>291</v>
      </c>
      <c r="G117">
        <v>-4467</v>
      </c>
      <c r="H117" t="s">
        <v>220</v>
      </c>
      <c r="I117" t="s">
        <v>225</v>
      </c>
    </row>
    <row r="118" spans="1:9" x14ac:dyDescent="0.3">
      <c r="A118" s="41">
        <v>46127</v>
      </c>
      <c r="B118" s="42">
        <v>0.37133101851851852</v>
      </c>
      <c r="C118" t="s">
        <v>221</v>
      </c>
      <c r="D118" t="s">
        <v>42</v>
      </c>
      <c r="E118" t="s">
        <v>222</v>
      </c>
      <c r="F118" t="s">
        <v>291</v>
      </c>
      <c r="G118">
        <v>-11802</v>
      </c>
      <c r="H118" t="s">
        <v>220</v>
      </c>
      <c r="I118" t="s">
        <v>273</v>
      </c>
    </row>
    <row r="119" spans="1:9" x14ac:dyDescent="0.3">
      <c r="A119" s="41">
        <v>46127</v>
      </c>
      <c r="B119" s="42">
        <v>0.37131944444444442</v>
      </c>
      <c r="C119" t="s">
        <v>218</v>
      </c>
      <c r="D119" t="s">
        <v>229</v>
      </c>
      <c r="E119" t="s">
        <v>31</v>
      </c>
      <c r="F119" t="s">
        <v>274</v>
      </c>
      <c r="G119">
        <v>20000</v>
      </c>
      <c r="H119" t="s">
        <v>220</v>
      </c>
      <c r="I119" t="s">
        <v>275</v>
      </c>
    </row>
    <row r="120" spans="1:9" x14ac:dyDescent="0.3">
      <c r="A120" s="41">
        <v>46127</v>
      </c>
      <c r="B120" s="42">
        <v>0.37131944444444442</v>
      </c>
      <c r="C120" t="s">
        <v>218</v>
      </c>
      <c r="D120" t="s">
        <v>229</v>
      </c>
      <c r="E120" t="s">
        <v>31</v>
      </c>
      <c r="F120" t="s">
        <v>276</v>
      </c>
      <c r="G120">
        <v>-20000</v>
      </c>
      <c r="H120" t="s">
        <v>220</v>
      </c>
      <c r="I120" t="s">
        <v>57</v>
      </c>
    </row>
    <row r="121" spans="1:9" x14ac:dyDescent="0.3">
      <c r="A121" s="41">
        <v>46127</v>
      </c>
      <c r="B121" s="42">
        <v>0.33097222222222222</v>
      </c>
      <c r="C121" t="s">
        <v>221</v>
      </c>
      <c r="D121" t="s">
        <v>42</v>
      </c>
      <c r="E121" t="s">
        <v>222</v>
      </c>
      <c r="F121" t="s">
        <v>291</v>
      </c>
      <c r="G121">
        <v>-16269</v>
      </c>
      <c r="H121" t="s">
        <v>220</v>
      </c>
      <c r="I121" t="s">
        <v>225</v>
      </c>
    </row>
    <row r="122" spans="1:9" x14ac:dyDescent="0.3">
      <c r="A122" s="41">
        <v>46126</v>
      </c>
      <c r="B122" s="42">
        <v>0.89344907407407403</v>
      </c>
      <c r="C122" t="s">
        <v>221</v>
      </c>
      <c r="D122" t="s">
        <v>45</v>
      </c>
      <c r="E122" t="s">
        <v>287</v>
      </c>
      <c r="F122" t="s">
        <v>288</v>
      </c>
      <c r="G122">
        <v>-103200</v>
      </c>
      <c r="H122" t="s">
        <v>220</v>
      </c>
      <c r="I122" t="s">
        <v>289</v>
      </c>
    </row>
    <row r="123" spans="1:9" x14ac:dyDescent="0.3">
      <c r="A123" s="41">
        <v>46126</v>
      </c>
      <c r="B123" s="42">
        <v>0.85071759259259261</v>
      </c>
      <c r="C123" t="s">
        <v>221</v>
      </c>
      <c r="D123" t="s">
        <v>45</v>
      </c>
      <c r="E123" t="s">
        <v>287</v>
      </c>
      <c r="F123" t="s">
        <v>288</v>
      </c>
      <c r="G123">
        <v>103200</v>
      </c>
      <c r="H123" t="s">
        <v>220</v>
      </c>
      <c r="I123" t="s">
        <v>289</v>
      </c>
    </row>
    <row r="124" spans="1:9" x14ac:dyDescent="0.3">
      <c r="A124" s="41">
        <v>46126</v>
      </c>
      <c r="B124" s="42">
        <v>0.8394328703703704</v>
      </c>
      <c r="C124" t="s">
        <v>221</v>
      </c>
      <c r="D124" t="s">
        <v>45</v>
      </c>
      <c r="E124" t="s">
        <v>287</v>
      </c>
      <c r="F124" t="s">
        <v>288</v>
      </c>
      <c r="G124">
        <v>-103200</v>
      </c>
      <c r="H124" t="s">
        <v>220</v>
      </c>
      <c r="I124" t="s">
        <v>289</v>
      </c>
    </row>
    <row r="125" spans="1:9" x14ac:dyDescent="0.3">
      <c r="A125" s="41">
        <v>46125</v>
      </c>
      <c r="B125" s="42">
        <v>0.54456018518518523</v>
      </c>
      <c r="C125" t="s">
        <v>218</v>
      </c>
      <c r="D125" t="s">
        <v>31</v>
      </c>
      <c r="E125" t="s">
        <v>31</v>
      </c>
      <c r="F125" t="s">
        <v>264</v>
      </c>
      <c r="G125">
        <v>19375000</v>
      </c>
      <c r="H125" t="s">
        <v>220</v>
      </c>
      <c r="I125" t="s">
        <v>292</v>
      </c>
    </row>
    <row r="126" spans="1:9" x14ac:dyDescent="0.3">
      <c r="A126" s="41">
        <v>46124</v>
      </c>
      <c r="B126" s="42">
        <v>0.83207175925925925</v>
      </c>
      <c r="C126" t="s">
        <v>218</v>
      </c>
      <c r="D126" t="s">
        <v>229</v>
      </c>
      <c r="E126" t="s">
        <v>31</v>
      </c>
      <c r="F126" t="s">
        <v>7</v>
      </c>
      <c r="G126">
        <v>220000</v>
      </c>
      <c r="H126" t="s">
        <v>220</v>
      </c>
      <c r="I126" t="s">
        <v>62</v>
      </c>
    </row>
    <row r="127" spans="1:9" x14ac:dyDescent="0.3">
      <c r="A127" s="41">
        <v>46124</v>
      </c>
      <c r="B127" s="42">
        <v>0.83207175925925925</v>
      </c>
      <c r="C127" t="s">
        <v>218</v>
      </c>
      <c r="D127" t="s">
        <v>229</v>
      </c>
      <c r="E127" t="s">
        <v>31</v>
      </c>
      <c r="F127" t="s">
        <v>7</v>
      </c>
      <c r="G127">
        <v>-220000</v>
      </c>
      <c r="H127" t="s">
        <v>220</v>
      </c>
      <c r="I127" t="s">
        <v>56</v>
      </c>
    </row>
    <row r="128" spans="1:9" x14ac:dyDescent="0.3">
      <c r="A128" s="41">
        <v>46124</v>
      </c>
      <c r="B128" s="42">
        <v>0.83151620370370372</v>
      </c>
      <c r="C128" t="s">
        <v>218</v>
      </c>
      <c r="D128" t="s">
        <v>229</v>
      </c>
      <c r="E128" t="s">
        <v>31</v>
      </c>
      <c r="F128" t="s">
        <v>7</v>
      </c>
      <c r="G128">
        <v>220000</v>
      </c>
      <c r="H128" t="s">
        <v>220</v>
      </c>
      <c r="I128" t="s">
        <v>56</v>
      </c>
    </row>
    <row r="129" spans="1:9" x14ac:dyDescent="0.3">
      <c r="A129" s="41">
        <v>46124</v>
      </c>
      <c r="B129" s="42">
        <v>0.57851851851851854</v>
      </c>
      <c r="C129" t="s">
        <v>218</v>
      </c>
      <c r="D129" t="s">
        <v>229</v>
      </c>
      <c r="E129" t="s">
        <v>31</v>
      </c>
      <c r="F129" t="s">
        <v>7</v>
      </c>
      <c r="G129">
        <v>-110000</v>
      </c>
      <c r="H129" t="s">
        <v>220</v>
      </c>
      <c r="I129" t="s">
        <v>62</v>
      </c>
    </row>
    <row r="130" spans="1:9" x14ac:dyDescent="0.3">
      <c r="A130" s="41">
        <v>46124</v>
      </c>
      <c r="B130" s="42">
        <v>0.54714120370370367</v>
      </c>
      <c r="C130" t="s">
        <v>218</v>
      </c>
      <c r="D130" t="s">
        <v>31</v>
      </c>
      <c r="E130" t="s">
        <v>31</v>
      </c>
      <c r="F130" t="s">
        <v>230</v>
      </c>
      <c r="G130">
        <v>20000</v>
      </c>
      <c r="H130" t="s">
        <v>220</v>
      </c>
      <c r="I130" t="s">
        <v>57</v>
      </c>
    </row>
    <row r="131" spans="1:9" x14ac:dyDescent="0.3">
      <c r="A131" s="41">
        <v>46123</v>
      </c>
      <c r="B131" s="42">
        <v>9.7106481481481488E-3</v>
      </c>
      <c r="C131" t="s">
        <v>218</v>
      </c>
      <c r="D131" t="s">
        <v>31</v>
      </c>
      <c r="E131" t="s">
        <v>31</v>
      </c>
      <c r="F131" t="s">
        <v>230</v>
      </c>
      <c r="G131">
        <v>1151</v>
      </c>
      <c r="H131" t="s">
        <v>220</v>
      </c>
      <c r="I131" t="s">
        <v>62</v>
      </c>
    </row>
    <row r="132" spans="1:9" x14ac:dyDescent="0.3">
      <c r="A132" s="41">
        <v>46122</v>
      </c>
      <c r="B132" s="42">
        <v>0.7888425925925926</v>
      </c>
      <c r="C132" t="s">
        <v>218</v>
      </c>
      <c r="D132" t="s">
        <v>229</v>
      </c>
      <c r="E132" t="s">
        <v>31</v>
      </c>
      <c r="F132" t="s">
        <v>7</v>
      </c>
      <c r="G132">
        <v>240000</v>
      </c>
      <c r="H132" t="s">
        <v>220</v>
      </c>
      <c r="I132" t="s">
        <v>62</v>
      </c>
    </row>
    <row r="133" spans="1:9" x14ac:dyDescent="0.3">
      <c r="A133" s="41">
        <v>46122</v>
      </c>
      <c r="B133" s="42">
        <v>0.7888425925925926</v>
      </c>
      <c r="C133" t="s">
        <v>218</v>
      </c>
      <c r="D133" t="s">
        <v>229</v>
      </c>
      <c r="E133" t="s">
        <v>31</v>
      </c>
      <c r="F133" t="s">
        <v>7</v>
      </c>
      <c r="G133">
        <v>-240000</v>
      </c>
      <c r="H133" t="s">
        <v>220</v>
      </c>
      <c r="I133" t="s">
        <v>57</v>
      </c>
    </row>
    <row r="134" spans="1:9" x14ac:dyDescent="0.3">
      <c r="A134" s="41">
        <v>46122</v>
      </c>
      <c r="B134" s="42">
        <v>0.72200231481481481</v>
      </c>
      <c r="C134" t="s">
        <v>221</v>
      </c>
      <c r="D134" t="s">
        <v>45</v>
      </c>
      <c r="E134" t="s">
        <v>287</v>
      </c>
      <c r="F134" t="s">
        <v>288</v>
      </c>
      <c r="G134">
        <v>-81000</v>
      </c>
      <c r="H134" t="s">
        <v>220</v>
      </c>
      <c r="I134" t="s">
        <v>289</v>
      </c>
    </row>
    <row r="135" spans="1:9" x14ac:dyDescent="0.3">
      <c r="A135" s="41">
        <v>46122</v>
      </c>
      <c r="B135" s="42">
        <v>0.7033449074074074</v>
      </c>
      <c r="C135" t="s">
        <v>218</v>
      </c>
      <c r="D135" t="s">
        <v>31</v>
      </c>
      <c r="E135" t="s">
        <v>31</v>
      </c>
      <c r="F135" t="s">
        <v>230</v>
      </c>
      <c r="G135">
        <v>260000</v>
      </c>
      <c r="H135" t="s">
        <v>220</v>
      </c>
      <c r="I135" t="s">
        <v>57</v>
      </c>
    </row>
    <row r="136" spans="1:9" x14ac:dyDescent="0.3">
      <c r="A136" s="41">
        <v>46120</v>
      </c>
      <c r="B136" s="42">
        <v>0.6239351851851852</v>
      </c>
      <c r="C136" t="s">
        <v>218</v>
      </c>
      <c r="D136" t="s">
        <v>229</v>
      </c>
      <c r="E136" t="s">
        <v>31</v>
      </c>
      <c r="F136" t="s">
        <v>7</v>
      </c>
      <c r="G136">
        <v>180000</v>
      </c>
      <c r="H136" t="s">
        <v>220</v>
      </c>
      <c r="I136" t="s">
        <v>62</v>
      </c>
    </row>
    <row r="137" spans="1:9" x14ac:dyDescent="0.3">
      <c r="A137" s="41">
        <v>46120</v>
      </c>
      <c r="B137" s="42">
        <v>0.6239351851851852</v>
      </c>
      <c r="C137" t="s">
        <v>218</v>
      </c>
      <c r="D137" t="s">
        <v>229</v>
      </c>
      <c r="E137" t="s">
        <v>31</v>
      </c>
      <c r="F137" t="s">
        <v>7</v>
      </c>
      <c r="G137">
        <v>-180000</v>
      </c>
      <c r="H137" t="s">
        <v>220</v>
      </c>
      <c r="I137" t="s">
        <v>57</v>
      </c>
    </row>
    <row r="138" spans="1:9" x14ac:dyDescent="0.3">
      <c r="A138" s="41">
        <v>46120</v>
      </c>
      <c r="B138" s="42">
        <v>0.62337962962962967</v>
      </c>
      <c r="C138" t="s">
        <v>218</v>
      </c>
      <c r="D138" t="s">
        <v>229</v>
      </c>
      <c r="E138" t="s">
        <v>31</v>
      </c>
      <c r="F138" t="s">
        <v>7</v>
      </c>
      <c r="G138">
        <v>200000</v>
      </c>
      <c r="H138" t="s">
        <v>220</v>
      </c>
      <c r="I138" t="s">
        <v>62</v>
      </c>
    </row>
    <row r="139" spans="1:9" x14ac:dyDescent="0.3">
      <c r="A139" s="41">
        <v>46120</v>
      </c>
      <c r="B139" s="42">
        <v>0.62337962962962967</v>
      </c>
      <c r="C139" t="s">
        <v>218</v>
      </c>
      <c r="D139" t="s">
        <v>229</v>
      </c>
      <c r="E139" t="s">
        <v>31</v>
      </c>
      <c r="F139" t="s">
        <v>7</v>
      </c>
      <c r="G139">
        <v>-200000</v>
      </c>
      <c r="H139" t="s">
        <v>220</v>
      </c>
      <c r="I139" t="s">
        <v>56</v>
      </c>
    </row>
    <row r="140" spans="1:9" x14ac:dyDescent="0.3">
      <c r="A140" s="41">
        <v>46120</v>
      </c>
      <c r="B140" s="42">
        <v>0.62067129629629625</v>
      </c>
      <c r="C140" t="s">
        <v>218</v>
      </c>
      <c r="D140" t="s">
        <v>229</v>
      </c>
      <c r="E140" t="s">
        <v>31</v>
      </c>
      <c r="F140" t="s">
        <v>7</v>
      </c>
      <c r="G140">
        <v>-1000000</v>
      </c>
      <c r="H140" t="s">
        <v>220</v>
      </c>
      <c r="I140" t="s">
        <v>62</v>
      </c>
    </row>
    <row r="141" spans="1:9" x14ac:dyDescent="0.3">
      <c r="A141" s="41">
        <v>46120</v>
      </c>
      <c r="B141" s="42">
        <v>0.61979166666666663</v>
      </c>
      <c r="C141" t="s">
        <v>218</v>
      </c>
      <c r="D141" t="s">
        <v>74</v>
      </c>
      <c r="E141" t="s">
        <v>31</v>
      </c>
      <c r="F141" t="s">
        <v>293</v>
      </c>
      <c r="G141">
        <v>1</v>
      </c>
      <c r="H141" t="s">
        <v>220</v>
      </c>
      <c r="I141" t="s">
        <v>56</v>
      </c>
    </row>
    <row r="142" spans="1:9" x14ac:dyDescent="0.3">
      <c r="A142" s="41">
        <v>46119</v>
      </c>
      <c r="B142" s="42">
        <v>0.58957175925925931</v>
      </c>
      <c r="C142" t="s">
        <v>218</v>
      </c>
      <c r="D142" t="s">
        <v>229</v>
      </c>
      <c r="E142" t="s">
        <v>31</v>
      </c>
      <c r="F142" t="s">
        <v>7</v>
      </c>
      <c r="G142">
        <v>-1000000</v>
      </c>
      <c r="H142" t="s">
        <v>220</v>
      </c>
      <c r="I142" t="s">
        <v>57</v>
      </c>
    </row>
    <row r="143" spans="1:9" x14ac:dyDescent="0.3">
      <c r="A143" s="41">
        <v>46119</v>
      </c>
      <c r="B143" s="42">
        <v>0.58864583333333331</v>
      </c>
      <c r="C143" t="s">
        <v>218</v>
      </c>
      <c r="D143" t="s">
        <v>229</v>
      </c>
      <c r="E143" t="s">
        <v>31</v>
      </c>
      <c r="F143" t="s">
        <v>7</v>
      </c>
      <c r="G143">
        <v>-6000000</v>
      </c>
      <c r="H143" t="s">
        <v>220</v>
      </c>
      <c r="I143" t="s">
        <v>57</v>
      </c>
    </row>
    <row r="144" spans="1:9" x14ac:dyDescent="0.3">
      <c r="A144" s="41">
        <v>46118</v>
      </c>
      <c r="B144" s="42">
        <v>0.82991898148148147</v>
      </c>
      <c r="C144" t="s">
        <v>221</v>
      </c>
      <c r="D144" t="s">
        <v>39</v>
      </c>
      <c r="E144" t="s">
        <v>31</v>
      </c>
      <c r="F144" t="s">
        <v>294</v>
      </c>
      <c r="G144">
        <v>-15797</v>
      </c>
      <c r="H144" t="s">
        <v>220</v>
      </c>
      <c r="I144" t="s">
        <v>268</v>
      </c>
    </row>
    <row r="145" spans="1:9" x14ac:dyDescent="0.3">
      <c r="A145" s="41">
        <v>46118</v>
      </c>
      <c r="B145" s="42">
        <v>0.635162037037037</v>
      </c>
      <c r="C145" t="s">
        <v>221</v>
      </c>
      <c r="D145" t="s">
        <v>45</v>
      </c>
      <c r="E145" t="s">
        <v>262</v>
      </c>
      <c r="F145" t="s">
        <v>295</v>
      </c>
      <c r="G145">
        <v>-21249</v>
      </c>
      <c r="H145" t="s">
        <v>220</v>
      </c>
      <c r="I145" t="s">
        <v>228</v>
      </c>
    </row>
    <row r="146" spans="1:9" x14ac:dyDescent="0.3">
      <c r="A146" s="41">
        <v>46118</v>
      </c>
      <c r="B146" s="42">
        <v>0.54767361111111112</v>
      </c>
      <c r="C146" t="s">
        <v>221</v>
      </c>
      <c r="D146" t="s">
        <v>42</v>
      </c>
      <c r="E146" t="s">
        <v>222</v>
      </c>
      <c r="F146" t="s">
        <v>296</v>
      </c>
      <c r="G146">
        <v>139590</v>
      </c>
      <c r="H146" t="s">
        <v>220</v>
      </c>
      <c r="I146" t="s">
        <v>289</v>
      </c>
    </row>
    <row r="147" spans="1:9" x14ac:dyDescent="0.3">
      <c r="A147" s="41">
        <v>46118</v>
      </c>
      <c r="B147" s="42">
        <v>0.54767361111111112</v>
      </c>
      <c r="C147" t="s">
        <v>221</v>
      </c>
      <c r="D147" t="s">
        <v>36</v>
      </c>
      <c r="E147" t="s">
        <v>281</v>
      </c>
      <c r="F147" t="s">
        <v>282</v>
      </c>
      <c r="G147">
        <v>10675</v>
      </c>
      <c r="H147" t="s">
        <v>220</v>
      </c>
      <c r="I147" t="s">
        <v>225</v>
      </c>
    </row>
    <row r="148" spans="1:9" x14ac:dyDescent="0.3">
      <c r="A148" s="41">
        <v>46118</v>
      </c>
      <c r="B148" s="42">
        <v>0.46820601851851851</v>
      </c>
      <c r="C148" t="s">
        <v>233</v>
      </c>
      <c r="D148" t="s">
        <v>30</v>
      </c>
      <c r="E148" t="s">
        <v>31</v>
      </c>
      <c r="F148" t="s">
        <v>258</v>
      </c>
      <c r="G148">
        <v>27750</v>
      </c>
      <c r="H148" t="s">
        <v>220</v>
      </c>
      <c r="I148" t="s">
        <v>56</v>
      </c>
    </row>
    <row r="149" spans="1:9" x14ac:dyDescent="0.3">
      <c r="A149" s="41">
        <v>46118</v>
      </c>
      <c r="B149" s="42">
        <v>0.44495370370370368</v>
      </c>
      <c r="C149" t="s">
        <v>221</v>
      </c>
      <c r="D149" t="s">
        <v>42</v>
      </c>
      <c r="E149" t="s">
        <v>222</v>
      </c>
      <c r="F149" t="s">
        <v>296</v>
      </c>
      <c r="G149">
        <v>-139590</v>
      </c>
      <c r="H149" t="s">
        <v>220</v>
      </c>
      <c r="I149" t="s">
        <v>289</v>
      </c>
    </row>
    <row r="150" spans="1:9" x14ac:dyDescent="0.3">
      <c r="A150" s="41">
        <v>46117</v>
      </c>
      <c r="B150" s="42">
        <v>0.79853009259259256</v>
      </c>
      <c r="C150" t="s">
        <v>221</v>
      </c>
      <c r="D150" t="s">
        <v>42</v>
      </c>
      <c r="E150" t="s">
        <v>222</v>
      </c>
      <c r="F150" t="s">
        <v>296</v>
      </c>
      <c r="G150">
        <v>137900</v>
      </c>
      <c r="H150" t="s">
        <v>220</v>
      </c>
      <c r="I150" t="s">
        <v>289</v>
      </c>
    </row>
    <row r="151" spans="1:9" x14ac:dyDescent="0.3">
      <c r="A151" s="41">
        <v>46117</v>
      </c>
      <c r="B151" s="42">
        <v>0.79530092592592594</v>
      </c>
      <c r="C151" t="s">
        <v>221</v>
      </c>
      <c r="D151" t="s">
        <v>36</v>
      </c>
      <c r="E151" t="s">
        <v>281</v>
      </c>
      <c r="F151" t="s">
        <v>282</v>
      </c>
      <c r="G151">
        <v>-275</v>
      </c>
      <c r="H151" t="s">
        <v>220</v>
      </c>
      <c r="I151" t="s">
        <v>225</v>
      </c>
    </row>
    <row r="152" spans="1:9" x14ac:dyDescent="0.3">
      <c r="A152" s="41">
        <v>46117</v>
      </c>
      <c r="B152" s="42">
        <v>0.79530092592592594</v>
      </c>
      <c r="C152" t="s">
        <v>221</v>
      </c>
      <c r="D152" t="s">
        <v>42</v>
      </c>
      <c r="E152" t="s">
        <v>222</v>
      </c>
      <c r="F152" t="s">
        <v>297</v>
      </c>
      <c r="G152">
        <v>-275</v>
      </c>
      <c r="H152" t="s">
        <v>220</v>
      </c>
      <c r="I152" t="s">
        <v>228</v>
      </c>
    </row>
    <row r="153" spans="1:9" x14ac:dyDescent="0.3">
      <c r="A153" s="41">
        <v>46117</v>
      </c>
      <c r="B153" s="42">
        <v>0.63107638888888884</v>
      </c>
      <c r="C153" t="s">
        <v>221</v>
      </c>
      <c r="D153" t="s">
        <v>36</v>
      </c>
      <c r="E153" t="s">
        <v>281</v>
      </c>
      <c r="F153" t="s">
        <v>282</v>
      </c>
      <c r="G153">
        <v>-10675</v>
      </c>
      <c r="H153" t="s">
        <v>220</v>
      </c>
      <c r="I153" t="s">
        <v>225</v>
      </c>
    </row>
    <row r="154" spans="1:9" x14ac:dyDescent="0.3">
      <c r="A154" s="41">
        <v>46117</v>
      </c>
      <c r="B154" s="42">
        <v>0.63107638888888884</v>
      </c>
      <c r="C154" t="s">
        <v>221</v>
      </c>
      <c r="D154" t="s">
        <v>39</v>
      </c>
      <c r="E154" t="s">
        <v>284</v>
      </c>
      <c r="F154" t="s">
        <v>298</v>
      </c>
      <c r="G154">
        <v>12710</v>
      </c>
      <c r="H154" t="s">
        <v>220</v>
      </c>
      <c r="I154" t="s">
        <v>228</v>
      </c>
    </row>
    <row r="155" spans="1:9" x14ac:dyDescent="0.3">
      <c r="A155" s="41">
        <v>46117</v>
      </c>
      <c r="B155" s="42">
        <v>0.62689814814814815</v>
      </c>
      <c r="C155" t="s">
        <v>221</v>
      </c>
      <c r="D155" t="s">
        <v>42</v>
      </c>
      <c r="E155" t="s">
        <v>222</v>
      </c>
      <c r="F155" t="s">
        <v>296</v>
      </c>
      <c r="G155">
        <v>-137900</v>
      </c>
      <c r="H155" t="s">
        <v>220</v>
      </c>
      <c r="I155" t="s">
        <v>289</v>
      </c>
    </row>
    <row r="156" spans="1:9" x14ac:dyDescent="0.3">
      <c r="A156" s="41">
        <v>46117</v>
      </c>
      <c r="B156" s="42">
        <v>0.35356481481481478</v>
      </c>
      <c r="C156" t="s">
        <v>221</v>
      </c>
      <c r="D156" t="s">
        <v>39</v>
      </c>
      <c r="E156" t="s">
        <v>284</v>
      </c>
      <c r="F156" t="s">
        <v>298</v>
      </c>
      <c r="G156">
        <v>12720</v>
      </c>
      <c r="H156" t="s">
        <v>220</v>
      </c>
      <c r="I156" t="s">
        <v>228</v>
      </c>
    </row>
    <row r="157" spans="1:9" x14ac:dyDescent="0.3">
      <c r="A157" s="41">
        <v>46117</v>
      </c>
      <c r="B157" s="42">
        <v>0.3525578703703704</v>
      </c>
      <c r="C157" t="s">
        <v>221</v>
      </c>
      <c r="D157" t="s">
        <v>36</v>
      </c>
      <c r="E157" t="s">
        <v>281</v>
      </c>
      <c r="F157" t="s">
        <v>282</v>
      </c>
      <c r="G157">
        <v>10720</v>
      </c>
      <c r="H157" t="s">
        <v>220</v>
      </c>
      <c r="I157" t="s">
        <v>225</v>
      </c>
    </row>
    <row r="158" spans="1:9" x14ac:dyDescent="0.3">
      <c r="A158" s="41">
        <v>46117</v>
      </c>
      <c r="B158" s="42">
        <v>0.35135416666666669</v>
      </c>
      <c r="C158" t="s">
        <v>221</v>
      </c>
      <c r="D158" t="s">
        <v>39</v>
      </c>
      <c r="E158" t="s">
        <v>284</v>
      </c>
      <c r="F158" t="s">
        <v>298</v>
      </c>
      <c r="G158">
        <v>12720</v>
      </c>
      <c r="H158" t="s">
        <v>220</v>
      </c>
      <c r="I158" t="s">
        <v>228</v>
      </c>
    </row>
    <row r="159" spans="1:9" x14ac:dyDescent="0.3">
      <c r="A159" s="41">
        <v>46117</v>
      </c>
      <c r="B159" s="42">
        <v>0.3513425925925926</v>
      </c>
      <c r="C159" t="s">
        <v>221</v>
      </c>
      <c r="D159" t="s">
        <v>36</v>
      </c>
      <c r="E159" t="s">
        <v>281</v>
      </c>
      <c r="F159" t="s">
        <v>282</v>
      </c>
      <c r="G159">
        <v>-10720</v>
      </c>
      <c r="H159" t="s">
        <v>220</v>
      </c>
      <c r="I159" t="s">
        <v>225</v>
      </c>
    </row>
    <row r="160" spans="1:9" x14ac:dyDescent="0.3">
      <c r="A160" s="41">
        <v>46116</v>
      </c>
      <c r="B160" s="42">
        <v>0.57369212962962968</v>
      </c>
      <c r="C160" t="s">
        <v>218</v>
      </c>
      <c r="D160" t="s">
        <v>238</v>
      </c>
      <c r="E160" t="s">
        <v>31</v>
      </c>
      <c r="F160" t="s">
        <v>299</v>
      </c>
      <c r="G160">
        <v>782</v>
      </c>
      <c r="H160" t="s">
        <v>220</v>
      </c>
      <c r="I160" t="s">
        <v>62</v>
      </c>
    </row>
    <row r="161" spans="1:9" x14ac:dyDescent="0.3">
      <c r="A161" s="41">
        <v>46116</v>
      </c>
      <c r="B161" s="42">
        <v>0.36623842592592593</v>
      </c>
      <c r="C161" t="s">
        <v>218</v>
      </c>
      <c r="D161" t="s">
        <v>229</v>
      </c>
      <c r="E161" t="s">
        <v>31</v>
      </c>
      <c r="F161" t="s">
        <v>7</v>
      </c>
      <c r="G161">
        <v>-480000</v>
      </c>
      <c r="H161" t="s">
        <v>220</v>
      </c>
      <c r="I161" t="s">
        <v>57</v>
      </c>
    </row>
    <row r="162" spans="1:9" x14ac:dyDescent="0.3">
      <c r="A162" s="41">
        <v>46116</v>
      </c>
      <c r="B162" s="42">
        <v>0.36623842592592593</v>
      </c>
      <c r="C162" t="s">
        <v>218</v>
      </c>
      <c r="D162" t="s">
        <v>229</v>
      </c>
      <c r="E162" t="s">
        <v>31</v>
      </c>
      <c r="F162" t="s">
        <v>7</v>
      </c>
      <c r="G162">
        <v>480000</v>
      </c>
      <c r="H162" t="s">
        <v>220</v>
      </c>
      <c r="I162" t="s">
        <v>62</v>
      </c>
    </row>
    <row r="163" spans="1:9" x14ac:dyDescent="0.3">
      <c r="A163" s="41">
        <v>46116</v>
      </c>
      <c r="B163" s="42">
        <v>0.36561342592592588</v>
      </c>
      <c r="C163" t="s">
        <v>218</v>
      </c>
      <c r="D163" t="s">
        <v>229</v>
      </c>
      <c r="E163" t="s">
        <v>31</v>
      </c>
      <c r="F163" t="s">
        <v>7</v>
      </c>
      <c r="G163">
        <v>1500000</v>
      </c>
      <c r="H163" t="s">
        <v>220</v>
      </c>
      <c r="I163" t="s">
        <v>62</v>
      </c>
    </row>
    <row r="164" spans="1:9" x14ac:dyDescent="0.3">
      <c r="A164" s="41">
        <v>46116</v>
      </c>
      <c r="B164" s="42">
        <v>0.36560185185185179</v>
      </c>
      <c r="C164" t="s">
        <v>218</v>
      </c>
      <c r="D164" t="s">
        <v>229</v>
      </c>
      <c r="E164" t="s">
        <v>31</v>
      </c>
      <c r="F164" t="s">
        <v>7</v>
      </c>
      <c r="G164">
        <v>-1500000</v>
      </c>
      <c r="H164" t="s">
        <v>220</v>
      </c>
      <c r="I164" t="s">
        <v>64</v>
      </c>
    </row>
    <row r="165" spans="1:9" x14ac:dyDescent="0.3">
      <c r="A165" s="41">
        <v>46116</v>
      </c>
      <c r="B165" s="42">
        <v>0.36378472222222219</v>
      </c>
      <c r="C165" t="s">
        <v>218</v>
      </c>
      <c r="D165" t="s">
        <v>31</v>
      </c>
      <c r="E165" t="s">
        <v>31</v>
      </c>
      <c r="F165" t="s">
        <v>300</v>
      </c>
      <c r="G165">
        <v>0</v>
      </c>
      <c r="H165" t="s">
        <v>220</v>
      </c>
      <c r="I165" t="s">
        <v>62</v>
      </c>
    </row>
    <row r="166" spans="1:9" x14ac:dyDescent="0.3">
      <c r="A166" s="41">
        <v>46116</v>
      </c>
      <c r="B166" s="42">
        <v>0.35554398148148147</v>
      </c>
      <c r="C166" t="s">
        <v>221</v>
      </c>
      <c r="D166" t="s">
        <v>33</v>
      </c>
      <c r="E166" t="s">
        <v>301</v>
      </c>
      <c r="F166" t="s">
        <v>302</v>
      </c>
      <c r="G166">
        <v>-37849</v>
      </c>
      <c r="H166" t="s">
        <v>220</v>
      </c>
      <c r="I166" t="s">
        <v>225</v>
      </c>
    </row>
    <row r="167" spans="1:9" x14ac:dyDescent="0.3">
      <c r="A167" s="41">
        <v>46116</v>
      </c>
      <c r="B167" s="42">
        <v>0.35200231481481481</v>
      </c>
      <c r="C167" t="s">
        <v>218</v>
      </c>
      <c r="D167" t="s">
        <v>229</v>
      </c>
      <c r="E167" t="s">
        <v>31</v>
      </c>
      <c r="F167" t="s">
        <v>7</v>
      </c>
      <c r="G167">
        <v>500000</v>
      </c>
      <c r="H167" t="s">
        <v>220</v>
      </c>
      <c r="I167" t="s">
        <v>64</v>
      </c>
    </row>
    <row r="168" spans="1:9" x14ac:dyDescent="0.3">
      <c r="A168" s="41">
        <v>46116</v>
      </c>
      <c r="B168" s="42">
        <v>0.35200231481481481</v>
      </c>
      <c r="C168" t="s">
        <v>218</v>
      </c>
      <c r="D168" t="s">
        <v>229</v>
      </c>
      <c r="E168" t="s">
        <v>31</v>
      </c>
      <c r="F168" t="s">
        <v>303</v>
      </c>
      <c r="G168">
        <v>-500000</v>
      </c>
      <c r="H168" t="s">
        <v>220</v>
      </c>
      <c r="I168" t="s">
        <v>59</v>
      </c>
    </row>
    <row r="169" spans="1:9" x14ac:dyDescent="0.3">
      <c r="A169" s="41">
        <v>46116</v>
      </c>
      <c r="B169" s="42">
        <v>0.3515625</v>
      </c>
      <c r="C169" t="s">
        <v>233</v>
      </c>
      <c r="D169" t="s">
        <v>28</v>
      </c>
      <c r="E169" t="s">
        <v>31</v>
      </c>
      <c r="F169" t="s">
        <v>304</v>
      </c>
      <c r="G169">
        <v>512601</v>
      </c>
      <c r="H169" t="s">
        <v>220</v>
      </c>
      <c r="I169" t="s">
        <v>59</v>
      </c>
    </row>
    <row r="170" spans="1:9" x14ac:dyDescent="0.3">
      <c r="A170" s="41">
        <v>46116</v>
      </c>
      <c r="B170" s="42">
        <v>0.35011574074074081</v>
      </c>
      <c r="C170" t="s">
        <v>221</v>
      </c>
      <c r="D170" t="s">
        <v>36</v>
      </c>
      <c r="E170" t="s">
        <v>281</v>
      </c>
      <c r="F170" t="s">
        <v>305</v>
      </c>
      <c r="G170">
        <v>-10001</v>
      </c>
      <c r="H170" t="s">
        <v>220</v>
      </c>
      <c r="I170" t="s">
        <v>275</v>
      </c>
    </row>
    <row r="171" spans="1:9" x14ac:dyDescent="0.3">
      <c r="A171" s="41">
        <v>46116</v>
      </c>
      <c r="B171" s="42">
        <v>0.34947916666666667</v>
      </c>
      <c r="C171" t="s">
        <v>218</v>
      </c>
      <c r="D171" t="s">
        <v>229</v>
      </c>
      <c r="E171" t="s">
        <v>31</v>
      </c>
      <c r="F171" t="s">
        <v>7</v>
      </c>
      <c r="G171">
        <v>1000000</v>
      </c>
      <c r="H171" t="s">
        <v>220</v>
      </c>
      <c r="I171" t="s">
        <v>64</v>
      </c>
    </row>
    <row r="172" spans="1:9" x14ac:dyDescent="0.3">
      <c r="A172" s="41">
        <v>46116</v>
      </c>
      <c r="B172" s="42">
        <v>0.33913194444444439</v>
      </c>
      <c r="C172" t="s">
        <v>218</v>
      </c>
      <c r="D172" t="s">
        <v>218</v>
      </c>
      <c r="E172" t="s">
        <v>31</v>
      </c>
      <c r="F172" t="s">
        <v>306</v>
      </c>
      <c r="G172">
        <v>2107</v>
      </c>
      <c r="H172" t="s">
        <v>220</v>
      </c>
      <c r="I172" t="s">
        <v>275</v>
      </c>
    </row>
    <row r="173" spans="1:9" x14ac:dyDescent="0.3">
      <c r="A173" s="41">
        <v>46116</v>
      </c>
      <c r="B173" s="42">
        <v>0.3357175925925926</v>
      </c>
      <c r="C173" t="s">
        <v>221</v>
      </c>
      <c r="D173" t="s">
        <v>42</v>
      </c>
      <c r="E173" t="s">
        <v>223</v>
      </c>
      <c r="F173" t="s">
        <v>258</v>
      </c>
      <c r="G173">
        <v>-950</v>
      </c>
      <c r="H173" t="s">
        <v>220</v>
      </c>
      <c r="I173" t="s">
        <v>225</v>
      </c>
    </row>
    <row r="174" spans="1:9" x14ac:dyDescent="0.3">
      <c r="A174" s="41">
        <v>46113</v>
      </c>
      <c r="B174" s="42">
        <v>0.3349537037037037</v>
      </c>
      <c r="C174" t="s">
        <v>218</v>
      </c>
      <c r="D174" t="s">
        <v>229</v>
      </c>
      <c r="E174" t="s">
        <v>31</v>
      </c>
      <c r="F174" t="s">
        <v>231</v>
      </c>
      <c r="G174">
        <v>100000</v>
      </c>
      <c r="H174" t="s">
        <v>220</v>
      </c>
      <c r="I174" t="s">
        <v>78</v>
      </c>
    </row>
    <row r="175" spans="1:9" x14ac:dyDescent="0.3">
      <c r="A175" s="41">
        <v>46113</v>
      </c>
      <c r="B175" s="42">
        <v>0.3349537037037037</v>
      </c>
      <c r="C175" t="s">
        <v>218</v>
      </c>
      <c r="D175" t="s">
        <v>229</v>
      </c>
      <c r="E175" t="s">
        <v>31</v>
      </c>
      <c r="F175" t="s">
        <v>232</v>
      </c>
      <c r="G175">
        <v>-100000</v>
      </c>
      <c r="H175" t="s">
        <v>220</v>
      </c>
      <c r="I175" t="s">
        <v>60</v>
      </c>
    </row>
    <row r="176" spans="1:9" x14ac:dyDescent="0.3">
      <c r="A176" s="41">
        <v>46113</v>
      </c>
      <c r="B176" s="42">
        <v>0.27990740740740738</v>
      </c>
      <c r="C176" t="s">
        <v>233</v>
      </c>
      <c r="D176" t="s">
        <v>28</v>
      </c>
      <c r="E176" t="s">
        <v>31</v>
      </c>
      <c r="F176" t="s">
        <v>234</v>
      </c>
      <c r="G176">
        <v>32</v>
      </c>
      <c r="H176" t="s">
        <v>220</v>
      </c>
      <c r="I176" t="s">
        <v>63</v>
      </c>
    </row>
    <row r="177" spans="1:9" x14ac:dyDescent="0.3">
      <c r="A177" s="41">
        <v>46113</v>
      </c>
      <c r="B177" s="42">
        <v>0.15057870370370369</v>
      </c>
      <c r="C177" t="s">
        <v>233</v>
      </c>
      <c r="D177" t="s">
        <v>28</v>
      </c>
      <c r="E177" t="s">
        <v>31</v>
      </c>
      <c r="F177" t="s">
        <v>235</v>
      </c>
      <c r="G177">
        <v>2</v>
      </c>
      <c r="H177" t="s">
        <v>220</v>
      </c>
      <c r="I177" t="s">
        <v>70</v>
      </c>
    </row>
    <row r="178" spans="1:9" x14ac:dyDescent="0.3">
      <c r="A178" s="41">
        <v>46113</v>
      </c>
      <c r="B178" s="42">
        <v>9.2442129629629624E-2</v>
      </c>
      <c r="C178" t="s">
        <v>233</v>
      </c>
      <c r="D178" t="s">
        <v>28</v>
      </c>
      <c r="E178" t="s">
        <v>31</v>
      </c>
      <c r="F178" t="s">
        <v>236</v>
      </c>
      <c r="G178">
        <v>0</v>
      </c>
      <c r="H178" t="s">
        <v>220</v>
      </c>
      <c r="I178" t="s">
        <v>64</v>
      </c>
    </row>
    <row r="179" spans="1:9" x14ac:dyDescent="0.3">
      <c r="A179" s="41">
        <v>46112</v>
      </c>
      <c r="B179" s="42">
        <v>0.61031250000000004</v>
      </c>
      <c r="C179" t="s">
        <v>218</v>
      </c>
      <c r="D179" t="s">
        <v>238</v>
      </c>
      <c r="E179" t="s">
        <v>31</v>
      </c>
      <c r="F179" t="s">
        <v>257</v>
      </c>
      <c r="G179">
        <v>40000</v>
      </c>
      <c r="H179" t="s">
        <v>220</v>
      </c>
      <c r="I179" t="s">
        <v>57</v>
      </c>
    </row>
    <row r="180" spans="1:9" x14ac:dyDescent="0.3">
      <c r="A180" s="41">
        <v>46112</v>
      </c>
      <c r="B180" s="42">
        <v>0.4167939814814815</v>
      </c>
      <c r="C180" t="s">
        <v>218</v>
      </c>
      <c r="D180" t="s">
        <v>229</v>
      </c>
      <c r="E180" t="s">
        <v>31</v>
      </c>
      <c r="F180" t="s">
        <v>237</v>
      </c>
      <c r="G180">
        <v>100000</v>
      </c>
      <c r="H180" t="s">
        <v>220</v>
      </c>
      <c r="I180" t="s">
        <v>60</v>
      </c>
    </row>
    <row r="181" spans="1:9" x14ac:dyDescent="0.3">
      <c r="A181" s="41">
        <v>46112</v>
      </c>
      <c r="B181" s="42">
        <v>0.39550925925925928</v>
      </c>
      <c r="C181" t="s">
        <v>218</v>
      </c>
      <c r="D181" t="s">
        <v>238</v>
      </c>
      <c r="E181" t="s">
        <v>31</v>
      </c>
      <c r="F181" t="s">
        <v>307</v>
      </c>
      <c r="G181">
        <v>4401380</v>
      </c>
      <c r="H181" t="s">
        <v>220</v>
      </c>
      <c r="I181" t="s">
        <v>57</v>
      </c>
    </row>
    <row r="182" spans="1:9" x14ac:dyDescent="0.3">
      <c r="A182" s="41">
        <v>46112</v>
      </c>
      <c r="B182" s="42">
        <v>0.38899305555555558</v>
      </c>
      <c r="C182" t="s">
        <v>218</v>
      </c>
      <c r="D182" t="s">
        <v>238</v>
      </c>
      <c r="E182" t="s">
        <v>31</v>
      </c>
      <c r="F182" t="s">
        <v>269</v>
      </c>
      <c r="G182">
        <v>105750</v>
      </c>
      <c r="H182" t="s">
        <v>220</v>
      </c>
      <c r="I182" t="s">
        <v>56</v>
      </c>
    </row>
    <row r="183" spans="1:9" x14ac:dyDescent="0.3">
      <c r="A183" s="41">
        <v>46112</v>
      </c>
      <c r="B183" s="42">
        <v>0.34011574074074069</v>
      </c>
      <c r="C183" t="s">
        <v>218</v>
      </c>
      <c r="D183" t="s">
        <v>229</v>
      </c>
      <c r="E183" t="s">
        <v>31</v>
      </c>
      <c r="F183" t="s">
        <v>7</v>
      </c>
      <c r="G183">
        <v>-140000</v>
      </c>
      <c r="H183" t="s">
        <v>220</v>
      </c>
      <c r="I183" t="s">
        <v>57</v>
      </c>
    </row>
    <row r="184" spans="1:9" x14ac:dyDescent="0.3">
      <c r="A184" s="41">
        <v>46110</v>
      </c>
      <c r="B184" s="42">
        <v>0.47324074074074068</v>
      </c>
      <c r="C184" t="s">
        <v>218</v>
      </c>
      <c r="D184" t="s">
        <v>31</v>
      </c>
      <c r="E184" t="s">
        <v>31</v>
      </c>
      <c r="F184" t="s">
        <v>230</v>
      </c>
      <c r="G184">
        <v>10</v>
      </c>
      <c r="H184" t="s">
        <v>220</v>
      </c>
      <c r="I184" t="s">
        <v>58</v>
      </c>
    </row>
    <row r="185" spans="1:9" x14ac:dyDescent="0.3">
      <c r="A185" s="41">
        <v>46109</v>
      </c>
      <c r="B185" s="42">
        <v>0.18189814814814809</v>
      </c>
      <c r="C185" t="s">
        <v>233</v>
      </c>
      <c r="D185" t="s">
        <v>28</v>
      </c>
      <c r="E185" t="s">
        <v>31</v>
      </c>
      <c r="F185" t="s">
        <v>234</v>
      </c>
      <c r="G185">
        <v>0</v>
      </c>
      <c r="H185" t="s">
        <v>220</v>
      </c>
      <c r="I185" t="s">
        <v>66</v>
      </c>
    </row>
    <row r="186" spans="1:9" x14ac:dyDescent="0.3">
      <c r="A186" s="41">
        <v>46109</v>
      </c>
      <c r="B186" s="42">
        <v>0.13127314814814811</v>
      </c>
      <c r="C186" t="s">
        <v>233</v>
      </c>
      <c r="D186" t="s">
        <v>28</v>
      </c>
      <c r="E186" t="s">
        <v>31</v>
      </c>
      <c r="F186" t="s">
        <v>248</v>
      </c>
      <c r="G186">
        <v>3</v>
      </c>
      <c r="H186" t="s">
        <v>220</v>
      </c>
      <c r="I186" t="s">
        <v>67</v>
      </c>
    </row>
    <row r="187" spans="1:9" x14ac:dyDescent="0.3">
      <c r="A187" s="41">
        <v>46109</v>
      </c>
      <c r="B187" s="42">
        <v>0.1149074074074074</v>
      </c>
      <c r="C187" t="s">
        <v>218</v>
      </c>
      <c r="D187" t="s">
        <v>238</v>
      </c>
      <c r="E187" t="s">
        <v>31</v>
      </c>
      <c r="F187" t="s">
        <v>249</v>
      </c>
      <c r="G187">
        <v>0</v>
      </c>
      <c r="H187" t="s">
        <v>220</v>
      </c>
      <c r="I187" t="s">
        <v>65</v>
      </c>
    </row>
    <row r="188" spans="1:9" x14ac:dyDescent="0.3">
      <c r="A188" s="41">
        <v>46109</v>
      </c>
      <c r="B188" s="42">
        <v>9.8518518518518519E-2</v>
      </c>
      <c r="C188" t="s">
        <v>233</v>
      </c>
      <c r="D188" t="s">
        <v>28</v>
      </c>
      <c r="E188" t="s">
        <v>31</v>
      </c>
      <c r="F188" t="s">
        <v>250</v>
      </c>
      <c r="G188">
        <v>0</v>
      </c>
      <c r="H188" t="s">
        <v>220</v>
      </c>
      <c r="I188" t="s">
        <v>71</v>
      </c>
    </row>
    <row r="189" spans="1:9" x14ac:dyDescent="0.3">
      <c r="A189" s="41">
        <v>46106</v>
      </c>
      <c r="B189" s="42">
        <v>0.7487731481481481</v>
      </c>
      <c r="C189" t="s">
        <v>221</v>
      </c>
      <c r="D189" t="s">
        <v>44</v>
      </c>
      <c r="E189" t="s">
        <v>240</v>
      </c>
      <c r="F189" t="s">
        <v>241</v>
      </c>
      <c r="G189">
        <v>-310890</v>
      </c>
      <c r="H189" t="s">
        <v>220</v>
      </c>
      <c r="I189" t="s">
        <v>242</v>
      </c>
    </row>
    <row r="190" spans="1:9" x14ac:dyDescent="0.3">
      <c r="A190" s="41">
        <v>46106</v>
      </c>
      <c r="B190" s="42">
        <v>0.33097222222222222</v>
      </c>
      <c r="C190" t="s">
        <v>218</v>
      </c>
      <c r="D190" t="s">
        <v>229</v>
      </c>
      <c r="E190" t="s">
        <v>31</v>
      </c>
      <c r="F190" t="s">
        <v>232</v>
      </c>
      <c r="G190">
        <v>-200000</v>
      </c>
      <c r="H190" t="s">
        <v>220</v>
      </c>
      <c r="I190" t="s">
        <v>60</v>
      </c>
    </row>
    <row r="191" spans="1:9" x14ac:dyDescent="0.3">
      <c r="A191" s="41">
        <v>46106</v>
      </c>
      <c r="B191" s="42">
        <v>0.33097222222222222</v>
      </c>
      <c r="C191" t="s">
        <v>218</v>
      </c>
      <c r="D191" t="s">
        <v>229</v>
      </c>
      <c r="E191" t="s">
        <v>31</v>
      </c>
      <c r="F191" t="s">
        <v>231</v>
      </c>
      <c r="G191">
        <v>200000</v>
      </c>
      <c r="H191" t="s">
        <v>220</v>
      </c>
      <c r="I191" t="s">
        <v>77</v>
      </c>
    </row>
    <row r="192" spans="1:9" x14ac:dyDescent="0.3">
      <c r="A192" s="41">
        <v>46105</v>
      </c>
      <c r="B192" s="42">
        <v>0.50114583333333329</v>
      </c>
      <c r="C192" t="s">
        <v>221</v>
      </c>
      <c r="D192" t="s">
        <v>44</v>
      </c>
      <c r="E192" t="s">
        <v>243</v>
      </c>
      <c r="F192" t="s">
        <v>244</v>
      </c>
      <c r="G192">
        <v>-100</v>
      </c>
      <c r="H192" t="s">
        <v>220</v>
      </c>
      <c r="I192" t="s">
        <v>242</v>
      </c>
    </row>
    <row r="193" spans="1:9" x14ac:dyDescent="0.3">
      <c r="A193" s="41">
        <v>46105</v>
      </c>
      <c r="B193" s="42">
        <v>0.41675925925925927</v>
      </c>
      <c r="C193" t="s">
        <v>218</v>
      </c>
      <c r="D193" t="s">
        <v>229</v>
      </c>
      <c r="E193" t="s">
        <v>31</v>
      </c>
      <c r="F193" t="s">
        <v>237</v>
      </c>
      <c r="G193">
        <v>200000</v>
      </c>
      <c r="H193" t="s">
        <v>220</v>
      </c>
      <c r="I193" t="s">
        <v>60</v>
      </c>
    </row>
    <row r="194" spans="1:9" x14ac:dyDescent="0.3">
      <c r="A194" s="41">
        <v>46105</v>
      </c>
      <c r="B194" s="42">
        <v>8.6805555555555551E-4</v>
      </c>
      <c r="C194" t="s">
        <v>233</v>
      </c>
      <c r="D194" t="s">
        <v>31</v>
      </c>
      <c r="E194" t="s">
        <v>31</v>
      </c>
      <c r="F194" t="s">
        <v>308</v>
      </c>
      <c r="G194">
        <v>-699</v>
      </c>
      <c r="H194" t="s">
        <v>220</v>
      </c>
      <c r="I194" t="s">
        <v>309</v>
      </c>
    </row>
    <row r="195" spans="1:9" x14ac:dyDescent="0.3">
      <c r="A195" s="41">
        <v>46104</v>
      </c>
      <c r="B195" s="42">
        <v>0.42936342592592591</v>
      </c>
      <c r="C195" t="s">
        <v>218</v>
      </c>
      <c r="D195" t="s">
        <v>229</v>
      </c>
      <c r="E195" t="s">
        <v>31</v>
      </c>
      <c r="F195" t="s">
        <v>7</v>
      </c>
      <c r="G195">
        <v>2500000</v>
      </c>
      <c r="H195" t="s">
        <v>220</v>
      </c>
      <c r="I195" t="s">
        <v>76</v>
      </c>
    </row>
    <row r="196" spans="1:9" x14ac:dyDescent="0.3">
      <c r="A196" s="41">
        <v>46103</v>
      </c>
      <c r="B196" s="42">
        <v>0.48300925925925919</v>
      </c>
      <c r="C196" t="s">
        <v>221</v>
      </c>
      <c r="D196" t="s">
        <v>45</v>
      </c>
      <c r="E196" t="s">
        <v>310</v>
      </c>
      <c r="F196" t="s">
        <v>311</v>
      </c>
      <c r="G196">
        <v>-26360</v>
      </c>
      <c r="H196" t="s">
        <v>220</v>
      </c>
      <c r="I196" t="s">
        <v>289</v>
      </c>
    </row>
    <row r="197" spans="1:9" x14ac:dyDescent="0.3">
      <c r="A197" s="41">
        <v>46102</v>
      </c>
      <c r="B197" s="42">
        <v>0.48353009259259261</v>
      </c>
      <c r="C197" t="s">
        <v>233</v>
      </c>
      <c r="D197" t="s">
        <v>28</v>
      </c>
      <c r="E197" t="s">
        <v>31</v>
      </c>
      <c r="F197" t="s">
        <v>312</v>
      </c>
      <c r="G197">
        <v>0</v>
      </c>
      <c r="H197" t="s">
        <v>220</v>
      </c>
      <c r="I197" t="s">
        <v>59</v>
      </c>
    </row>
    <row r="198" spans="1:9" x14ac:dyDescent="0.3">
      <c r="A198" s="41">
        <v>46102</v>
      </c>
      <c r="B198" s="42">
        <v>0.4632060185185185</v>
      </c>
      <c r="C198" t="s">
        <v>221</v>
      </c>
      <c r="D198" t="s">
        <v>42</v>
      </c>
      <c r="E198" t="s">
        <v>222</v>
      </c>
      <c r="F198" t="s">
        <v>313</v>
      </c>
      <c r="G198">
        <v>0</v>
      </c>
      <c r="H198" t="s">
        <v>220</v>
      </c>
      <c r="I198" t="s">
        <v>268</v>
      </c>
    </row>
    <row r="199" spans="1:9" x14ac:dyDescent="0.3">
      <c r="A199" s="41">
        <v>46102</v>
      </c>
      <c r="B199" s="42">
        <v>0.20611111111111111</v>
      </c>
      <c r="C199" t="s">
        <v>218</v>
      </c>
      <c r="D199" t="s">
        <v>31</v>
      </c>
      <c r="E199" t="s">
        <v>31</v>
      </c>
      <c r="F199" t="s">
        <v>230</v>
      </c>
      <c r="G199">
        <v>0</v>
      </c>
      <c r="H199" t="s">
        <v>220</v>
      </c>
      <c r="I199" t="s">
        <v>68</v>
      </c>
    </row>
    <row r="200" spans="1:9" x14ac:dyDescent="0.3">
      <c r="A200" s="41">
        <v>46102</v>
      </c>
      <c r="B200" s="42">
        <v>0.10906250000000001</v>
      </c>
      <c r="C200" t="s">
        <v>218</v>
      </c>
      <c r="D200" t="s">
        <v>74</v>
      </c>
      <c r="E200" t="s">
        <v>31</v>
      </c>
      <c r="F200" t="s">
        <v>260</v>
      </c>
      <c r="G200">
        <v>294</v>
      </c>
      <c r="H200" t="s">
        <v>220</v>
      </c>
      <c r="I200" t="s">
        <v>60</v>
      </c>
    </row>
    <row r="201" spans="1:9" x14ac:dyDescent="0.3">
      <c r="A201" s="41">
        <v>46100</v>
      </c>
      <c r="B201" s="42">
        <v>0.4752777777777778</v>
      </c>
      <c r="C201" t="s">
        <v>218</v>
      </c>
      <c r="D201" t="s">
        <v>218</v>
      </c>
      <c r="E201" t="s">
        <v>31</v>
      </c>
      <c r="F201" t="s">
        <v>314</v>
      </c>
      <c r="G201">
        <v>83700</v>
      </c>
      <c r="H201" t="s">
        <v>220</v>
      </c>
      <c r="I201" t="s">
        <v>57</v>
      </c>
    </row>
    <row r="202" spans="1:9" x14ac:dyDescent="0.3">
      <c r="A202" s="41">
        <v>46100</v>
      </c>
      <c r="B202" s="42">
        <v>0.38178240740740738</v>
      </c>
      <c r="C202" t="s">
        <v>221</v>
      </c>
      <c r="D202" t="s">
        <v>44</v>
      </c>
      <c r="E202" t="s">
        <v>243</v>
      </c>
      <c r="F202" t="s">
        <v>251</v>
      </c>
      <c r="G202">
        <v>-36390</v>
      </c>
      <c r="H202" t="s">
        <v>220</v>
      </c>
      <c r="I202" t="s">
        <v>242</v>
      </c>
    </row>
    <row r="203" spans="1:9" x14ac:dyDescent="0.3">
      <c r="A203" s="41">
        <v>46099</v>
      </c>
      <c r="B203" s="42">
        <v>0.45936342592592588</v>
      </c>
      <c r="C203" t="s">
        <v>218</v>
      </c>
      <c r="D203" t="s">
        <v>238</v>
      </c>
      <c r="E203" t="s">
        <v>31</v>
      </c>
      <c r="F203" t="s">
        <v>315</v>
      </c>
      <c r="G203">
        <v>230000</v>
      </c>
      <c r="H203" t="s">
        <v>220</v>
      </c>
      <c r="I203" t="s">
        <v>57</v>
      </c>
    </row>
    <row r="204" spans="1:9" x14ac:dyDescent="0.3">
      <c r="A204" s="41">
        <v>46098</v>
      </c>
      <c r="B204" s="42">
        <v>0.79171296296296301</v>
      </c>
      <c r="C204" t="s">
        <v>218</v>
      </c>
      <c r="D204" t="s">
        <v>229</v>
      </c>
      <c r="E204" t="s">
        <v>31</v>
      </c>
      <c r="F204" t="s">
        <v>7</v>
      </c>
      <c r="G204">
        <v>-500000</v>
      </c>
      <c r="H204" t="s">
        <v>220</v>
      </c>
      <c r="I204" t="s">
        <v>57</v>
      </c>
    </row>
    <row r="205" spans="1:9" x14ac:dyDescent="0.3">
      <c r="A205" s="41">
        <v>46098</v>
      </c>
      <c r="B205" s="42">
        <v>0.79168981481481482</v>
      </c>
      <c r="C205" t="s">
        <v>218</v>
      </c>
      <c r="D205" t="s">
        <v>229</v>
      </c>
      <c r="E205" t="s">
        <v>31</v>
      </c>
      <c r="F205" t="s">
        <v>7</v>
      </c>
      <c r="G205">
        <v>-100000</v>
      </c>
      <c r="H205" t="s">
        <v>220</v>
      </c>
      <c r="I205" t="s">
        <v>57</v>
      </c>
    </row>
    <row r="206" spans="1:9" x14ac:dyDescent="0.3">
      <c r="A206" s="41">
        <v>46098</v>
      </c>
      <c r="B206" s="42">
        <v>0.79167824074074078</v>
      </c>
      <c r="C206" t="s">
        <v>218</v>
      </c>
      <c r="D206" t="s">
        <v>229</v>
      </c>
      <c r="E206" t="s">
        <v>31</v>
      </c>
      <c r="F206" t="s">
        <v>7</v>
      </c>
      <c r="G206">
        <v>-2000000</v>
      </c>
      <c r="H206" t="s">
        <v>220</v>
      </c>
      <c r="I206" t="s">
        <v>57</v>
      </c>
    </row>
    <row r="207" spans="1:9" x14ac:dyDescent="0.3">
      <c r="A207" s="41">
        <v>46098</v>
      </c>
      <c r="B207" s="42">
        <v>0.53704861111111113</v>
      </c>
      <c r="C207" t="s">
        <v>221</v>
      </c>
      <c r="D207" t="s">
        <v>42</v>
      </c>
      <c r="E207" t="s">
        <v>316</v>
      </c>
      <c r="F207" t="s">
        <v>317</v>
      </c>
      <c r="G207">
        <v>-83700</v>
      </c>
      <c r="H207" t="s">
        <v>220</v>
      </c>
      <c r="I207" t="s">
        <v>57</v>
      </c>
    </row>
    <row r="208" spans="1:9" x14ac:dyDescent="0.3">
      <c r="A208" s="41">
        <v>46098</v>
      </c>
      <c r="B208" s="42">
        <v>0.41055555555555562</v>
      </c>
      <c r="C208" t="s">
        <v>233</v>
      </c>
      <c r="D208" t="s">
        <v>29</v>
      </c>
      <c r="E208" t="s">
        <v>31</v>
      </c>
      <c r="F208" t="s">
        <v>318</v>
      </c>
      <c r="G208">
        <v>3125640</v>
      </c>
      <c r="H208" t="s">
        <v>220</v>
      </c>
      <c r="I208" t="s">
        <v>57</v>
      </c>
    </row>
    <row r="209" spans="1:9" x14ac:dyDescent="0.3">
      <c r="A209" s="41">
        <v>46096</v>
      </c>
      <c r="B209" s="42">
        <v>0.60484953703703703</v>
      </c>
      <c r="C209" t="s">
        <v>233</v>
      </c>
      <c r="D209" t="s">
        <v>28</v>
      </c>
      <c r="E209" t="s">
        <v>31</v>
      </c>
      <c r="F209" t="s">
        <v>319</v>
      </c>
      <c r="G209">
        <v>24</v>
      </c>
      <c r="H209" t="s">
        <v>220</v>
      </c>
      <c r="I209" t="s">
        <v>69</v>
      </c>
    </row>
    <row r="210" spans="1:9" x14ac:dyDescent="0.3">
      <c r="A210" s="41">
        <v>46089</v>
      </c>
      <c r="B210" s="42">
        <v>0.79246527777777775</v>
      </c>
      <c r="C210" t="s">
        <v>218</v>
      </c>
      <c r="D210" t="s">
        <v>229</v>
      </c>
      <c r="E210" t="s">
        <v>31</v>
      </c>
      <c r="F210" t="s">
        <v>320</v>
      </c>
      <c r="G210">
        <v>-290000</v>
      </c>
      <c r="H210" t="s">
        <v>220</v>
      </c>
      <c r="I210" t="s">
        <v>57</v>
      </c>
    </row>
    <row r="211" spans="1:9" x14ac:dyDescent="0.3">
      <c r="A211" s="41">
        <v>46088</v>
      </c>
      <c r="B211" s="42">
        <v>0.82613425925925921</v>
      </c>
      <c r="C211" t="s">
        <v>218</v>
      </c>
      <c r="D211" t="s">
        <v>238</v>
      </c>
      <c r="E211" t="s">
        <v>31</v>
      </c>
      <c r="F211" t="s">
        <v>321</v>
      </c>
      <c r="G211">
        <v>1</v>
      </c>
      <c r="H211" t="s">
        <v>220</v>
      </c>
      <c r="I211" t="s">
        <v>57</v>
      </c>
    </row>
    <row r="212" spans="1:9" x14ac:dyDescent="0.3">
      <c r="A212" s="41">
        <v>46084</v>
      </c>
      <c r="B212" s="42">
        <v>0.69857638888888884</v>
      </c>
      <c r="C212" t="s">
        <v>218</v>
      </c>
      <c r="D212" t="s">
        <v>238</v>
      </c>
      <c r="E212" t="s">
        <v>31</v>
      </c>
      <c r="F212" t="s">
        <v>322</v>
      </c>
      <c r="G212">
        <v>50819</v>
      </c>
      <c r="H212" t="s">
        <v>220</v>
      </c>
      <c r="I212" t="s">
        <v>56</v>
      </c>
    </row>
    <row r="213" spans="1:9" x14ac:dyDescent="0.3">
      <c r="A213" s="41">
        <v>46084</v>
      </c>
      <c r="B213" s="42">
        <v>0.33818287037037043</v>
      </c>
      <c r="C213" t="s">
        <v>218</v>
      </c>
      <c r="D213" t="s">
        <v>229</v>
      </c>
      <c r="E213" t="s">
        <v>31</v>
      </c>
      <c r="F213" t="s">
        <v>231</v>
      </c>
      <c r="G213">
        <v>100000</v>
      </c>
      <c r="H213" t="s">
        <v>220</v>
      </c>
      <c r="I213" t="s">
        <v>78</v>
      </c>
    </row>
    <row r="214" spans="1:9" x14ac:dyDescent="0.3">
      <c r="A214" s="41">
        <v>46084</v>
      </c>
      <c r="B214" s="42">
        <v>0.33818287037037043</v>
      </c>
      <c r="C214" t="s">
        <v>218</v>
      </c>
      <c r="D214" t="s">
        <v>229</v>
      </c>
      <c r="E214" t="s">
        <v>31</v>
      </c>
      <c r="F214" t="s">
        <v>232</v>
      </c>
      <c r="G214">
        <v>-100000</v>
      </c>
      <c r="H214" t="s">
        <v>220</v>
      </c>
      <c r="I214" t="s">
        <v>60</v>
      </c>
    </row>
    <row r="215" spans="1:9" x14ac:dyDescent="0.3">
      <c r="A215" s="41">
        <v>46082</v>
      </c>
      <c r="B215" s="42">
        <v>0.27620370370370367</v>
      </c>
      <c r="C215" t="s">
        <v>233</v>
      </c>
      <c r="D215" t="s">
        <v>28</v>
      </c>
      <c r="E215" t="s">
        <v>31</v>
      </c>
      <c r="F215" t="s">
        <v>234</v>
      </c>
      <c r="G215">
        <v>29</v>
      </c>
      <c r="H215" t="s">
        <v>220</v>
      </c>
      <c r="I215" t="s">
        <v>63</v>
      </c>
    </row>
    <row r="216" spans="1:9" x14ac:dyDescent="0.3">
      <c r="A216" s="41">
        <v>46082</v>
      </c>
      <c r="B216" s="42">
        <v>0.1562152777777778</v>
      </c>
      <c r="C216" t="s">
        <v>233</v>
      </c>
      <c r="D216" t="s">
        <v>28</v>
      </c>
      <c r="E216" t="s">
        <v>31</v>
      </c>
      <c r="F216" t="s">
        <v>235</v>
      </c>
      <c r="G216">
        <v>2</v>
      </c>
      <c r="H216" t="s">
        <v>220</v>
      </c>
      <c r="I216" t="s">
        <v>70</v>
      </c>
    </row>
    <row r="217" spans="1:9" x14ac:dyDescent="0.3">
      <c r="A217" s="41">
        <v>46082</v>
      </c>
      <c r="B217" s="42">
        <v>0.1083796296296296</v>
      </c>
      <c r="C217" t="s">
        <v>233</v>
      </c>
      <c r="D217" t="s">
        <v>28</v>
      </c>
      <c r="E217" t="s">
        <v>31</v>
      </c>
      <c r="F217" t="s">
        <v>236</v>
      </c>
      <c r="G217">
        <v>0</v>
      </c>
      <c r="H217" t="s">
        <v>220</v>
      </c>
      <c r="I217" t="s">
        <v>64</v>
      </c>
    </row>
    <row r="218" spans="1:9" x14ac:dyDescent="0.3">
      <c r="A218" s="41">
        <v>46081</v>
      </c>
      <c r="B218" s="42">
        <v>0.88013888888888892</v>
      </c>
      <c r="C218" t="s">
        <v>218</v>
      </c>
      <c r="D218" t="s">
        <v>31</v>
      </c>
      <c r="E218" t="s">
        <v>31</v>
      </c>
      <c r="F218" t="s">
        <v>230</v>
      </c>
      <c r="G218">
        <v>250000</v>
      </c>
      <c r="H218" t="s">
        <v>220</v>
      </c>
      <c r="I218" t="s">
        <v>57</v>
      </c>
    </row>
    <row r="219" spans="1:9" x14ac:dyDescent="0.3">
      <c r="A219" s="41">
        <v>46081</v>
      </c>
      <c r="B219" s="42">
        <v>0.41678240740740741</v>
      </c>
      <c r="C219" t="s">
        <v>218</v>
      </c>
      <c r="D219" t="s">
        <v>229</v>
      </c>
      <c r="E219" t="s">
        <v>31</v>
      </c>
      <c r="F219" t="s">
        <v>237</v>
      </c>
      <c r="G219">
        <v>100000</v>
      </c>
      <c r="H219" t="s">
        <v>220</v>
      </c>
      <c r="I219" t="s">
        <v>60</v>
      </c>
    </row>
    <row r="220" spans="1:9" x14ac:dyDescent="0.3">
      <c r="A220" s="41">
        <v>46081</v>
      </c>
      <c r="B220" s="42">
        <v>0.19216435185185191</v>
      </c>
      <c r="C220" t="s">
        <v>233</v>
      </c>
      <c r="D220" t="s">
        <v>28</v>
      </c>
      <c r="E220" t="s">
        <v>31</v>
      </c>
      <c r="F220" t="s">
        <v>234</v>
      </c>
      <c r="G220">
        <v>0</v>
      </c>
      <c r="H220" t="s">
        <v>220</v>
      </c>
      <c r="I220" t="s">
        <v>66</v>
      </c>
    </row>
    <row r="221" spans="1:9" x14ac:dyDescent="0.3">
      <c r="A221" s="41">
        <v>46081</v>
      </c>
      <c r="B221" s="42">
        <v>0.146087962962963</v>
      </c>
      <c r="C221" t="s">
        <v>233</v>
      </c>
      <c r="D221" t="s">
        <v>28</v>
      </c>
      <c r="E221" t="s">
        <v>31</v>
      </c>
      <c r="F221" t="s">
        <v>248</v>
      </c>
      <c r="G221">
        <v>4</v>
      </c>
      <c r="H221" t="s">
        <v>220</v>
      </c>
      <c r="I221" t="s">
        <v>67</v>
      </c>
    </row>
    <row r="222" spans="1:9" x14ac:dyDescent="0.3">
      <c r="A222" s="41">
        <v>46081</v>
      </c>
      <c r="B222" s="42">
        <v>0.1298148148148148</v>
      </c>
      <c r="C222" t="s">
        <v>218</v>
      </c>
      <c r="D222" t="s">
        <v>238</v>
      </c>
      <c r="E222" t="s">
        <v>31</v>
      </c>
      <c r="F222" t="s">
        <v>249</v>
      </c>
      <c r="G222">
        <v>0</v>
      </c>
      <c r="H222" t="s">
        <v>220</v>
      </c>
      <c r="I222" t="s">
        <v>65</v>
      </c>
    </row>
    <row r="223" spans="1:9" x14ac:dyDescent="0.3">
      <c r="A223" s="41">
        <v>46081</v>
      </c>
      <c r="B223" s="42">
        <v>6.6631944444444438E-2</v>
      </c>
      <c r="C223" t="s">
        <v>233</v>
      </c>
      <c r="D223" t="s">
        <v>28</v>
      </c>
      <c r="E223" t="s">
        <v>31</v>
      </c>
      <c r="F223" t="s">
        <v>250</v>
      </c>
      <c r="G223">
        <v>0</v>
      </c>
      <c r="H223" t="s">
        <v>220</v>
      </c>
      <c r="I223" t="s">
        <v>71</v>
      </c>
    </row>
    <row r="224" spans="1:9" x14ac:dyDescent="0.3">
      <c r="A224" s="41">
        <v>46080</v>
      </c>
      <c r="B224" s="42">
        <v>0.36452546296296301</v>
      </c>
      <c r="C224" t="s">
        <v>218</v>
      </c>
      <c r="D224" t="s">
        <v>238</v>
      </c>
      <c r="E224" t="s">
        <v>31</v>
      </c>
      <c r="F224" t="s">
        <v>323</v>
      </c>
      <c r="G224">
        <v>50000</v>
      </c>
      <c r="H224" t="s">
        <v>220</v>
      </c>
      <c r="I224" t="s">
        <v>57</v>
      </c>
    </row>
    <row r="225" spans="1:9" x14ac:dyDescent="0.3">
      <c r="A225" s="41">
        <v>46078</v>
      </c>
      <c r="B225" s="42">
        <v>0.33105324074074072</v>
      </c>
      <c r="C225" t="s">
        <v>218</v>
      </c>
      <c r="D225" t="s">
        <v>229</v>
      </c>
      <c r="E225" t="s">
        <v>31</v>
      </c>
      <c r="F225" t="s">
        <v>232</v>
      </c>
      <c r="G225">
        <v>-200000</v>
      </c>
      <c r="H225" t="s">
        <v>220</v>
      </c>
      <c r="I225" t="s">
        <v>60</v>
      </c>
    </row>
    <row r="226" spans="1:9" x14ac:dyDescent="0.3">
      <c r="A226" s="41">
        <v>46078</v>
      </c>
      <c r="B226" s="42">
        <v>0.33105324074074072</v>
      </c>
      <c r="C226" t="s">
        <v>218</v>
      </c>
      <c r="D226" t="s">
        <v>229</v>
      </c>
      <c r="E226" t="s">
        <v>31</v>
      </c>
      <c r="F226" t="s">
        <v>231</v>
      </c>
      <c r="G226">
        <v>200000</v>
      </c>
      <c r="H226" t="s">
        <v>220</v>
      </c>
      <c r="I226" t="s">
        <v>77</v>
      </c>
    </row>
    <row r="227" spans="1:9" x14ac:dyDescent="0.3">
      <c r="A227" s="41">
        <v>46077</v>
      </c>
      <c r="B227" s="42">
        <v>0.75836805555555553</v>
      </c>
      <c r="C227" t="s">
        <v>221</v>
      </c>
      <c r="D227" t="s">
        <v>44</v>
      </c>
      <c r="E227" t="s">
        <v>240</v>
      </c>
      <c r="F227" t="s">
        <v>241</v>
      </c>
      <c r="G227">
        <v>-312780</v>
      </c>
      <c r="H227" t="s">
        <v>220</v>
      </c>
      <c r="I227" t="s">
        <v>242</v>
      </c>
    </row>
    <row r="228" spans="1:9" x14ac:dyDescent="0.3">
      <c r="A228" s="41">
        <v>46077</v>
      </c>
      <c r="B228" s="42">
        <v>0.49751157407407409</v>
      </c>
      <c r="C228" t="s">
        <v>221</v>
      </c>
      <c r="D228" t="s">
        <v>44</v>
      </c>
      <c r="E228" t="s">
        <v>243</v>
      </c>
      <c r="F228" t="s">
        <v>244</v>
      </c>
      <c r="G228">
        <v>-100</v>
      </c>
      <c r="H228" t="s">
        <v>220</v>
      </c>
      <c r="I228" t="s">
        <v>242</v>
      </c>
    </row>
    <row r="229" spans="1:9" x14ac:dyDescent="0.3">
      <c r="A229" s="41">
        <v>46077</v>
      </c>
      <c r="B229" s="42">
        <v>0.41678240740740741</v>
      </c>
      <c r="C229" t="s">
        <v>218</v>
      </c>
      <c r="D229" t="s">
        <v>229</v>
      </c>
      <c r="E229" t="s">
        <v>31</v>
      </c>
      <c r="F229" t="s">
        <v>237</v>
      </c>
      <c r="G229">
        <v>200000</v>
      </c>
      <c r="H229" t="s">
        <v>220</v>
      </c>
      <c r="I229" t="s">
        <v>60</v>
      </c>
    </row>
    <row r="230" spans="1:9" x14ac:dyDescent="0.3">
      <c r="A230" s="41">
        <v>46076</v>
      </c>
      <c r="B230" s="42">
        <v>0.42813657407407413</v>
      </c>
      <c r="C230" t="s">
        <v>218</v>
      </c>
      <c r="D230" t="s">
        <v>229</v>
      </c>
      <c r="E230" t="s">
        <v>31</v>
      </c>
      <c r="F230" t="s">
        <v>7</v>
      </c>
      <c r="G230">
        <v>2500000</v>
      </c>
      <c r="H230" t="s">
        <v>220</v>
      </c>
      <c r="I230" t="s">
        <v>76</v>
      </c>
    </row>
    <row r="231" spans="1:9" x14ac:dyDescent="0.3">
      <c r="A231" s="41">
        <v>46075</v>
      </c>
      <c r="B231" s="42">
        <v>0.88618055555555553</v>
      </c>
      <c r="C231" t="s">
        <v>221</v>
      </c>
      <c r="D231" t="s">
        <v>33</v>
      </c>
      <c r="E231" t="s">
        <v>301</v>
      </c>
      <c r="F231" t="s">
        <v>302</v>
      </c>
      <c r="G231">
        <v>-29849</v>
      </c>
      <c r="H231" t="s">
        <v>220</v>
      </c>
      <c r="I231" t="s">
        <v>225</v>
      </c>
    </row>
    <row r="232" spans="1:9" x14ac:dyDescent="0.3">
      <c r="A232" s="41">
        <v>46075</v>
      </c>
      <c r="B232" s="42">
        <v>0.60954861111111114</v>
      </c>
      <c r="C232" t="s">
        <v>221</v>
      </c>
      <c r="D232" t="s">
        <v>39</v>
      </c>
      <c r="E232" t="s">
        <v>245</v>
      </c>
      <c r="F232" t="s">
        <v>324</v>
      </c>
      <c r="G232">
        <v>0</v>
      </c>
      <c r="H232" t="s">
        <v>220</v>
      </c>
      <c r="I232" t="s">
        <v>268</v>
      </c>
    </row>
    <row r="233" spans="1:9" x14ac:dyDescent="0.3">
      <c r="A233" s="41">
        <v>46074</v>
      </c>
      <c r="B233" s="42">
        <v>0.45211805555555562</v>
      </c>
      <c r="C233" t="s">
        <v>221</v>
      </c>
      <c r="D233" t="s">
        <v>33</v>
      </c>
      <c r="E233" t="s">
        <v>301</v>
      </c>
      <c r="F233" t="s">
        <v>302</v>
      </c>
      <c r="G233">
        <v>-29849</v>
      </c>
      <c r="H233" t="s">
        <v>220</v>
      </c>
      <c r="I233" t="s">
        <v>225</v>
      </c>
    </row>
    <row r="234" spans="1:9" x14ac:dyDescent="0.3">
      <c r="A234" s="41">
        <v>46074</v>
      </c>
      <c r="B234" s="42">
        <v>0.42302083333333329</v>
      </c>
      <c r="C234" t="s">
        <v>221</v>
      </c>
      <c r="D234" t="s">
        <v>33</v>
      </c>
      <c r="E234" t="s">
        <v>301</v>
      </c>
      <c r="F234" t="s">
        <v>302</v>
      </c>
      <c r="G234">
        <v>-2600</v>
      </c>
      <c r="H234" t="s">
        <v>220</v>
      </c>
      <c r="I234" t="s">
        <v>225</v>
      </c>
    </row>
    <row r="235" spans="1:9" x14ac:dyDescent="0.3">
      <c r="A235" s="41">
        <v>46074</v>
      </c>
      <c r="B235" s="42">
        <v>0.42167824074074067</v>
      </c>
      <c r="C235" t="s">
        <v>221</v>
      </c>
      <c r="D235" t="s">
        <v>33</v>
      </c>
      <c r="E235" t="s">
        <v>301</v>
      </c>
      <c r="F235" t="s">
        <v>302</v>
      </c>
      <c r="G235">
        <v>-24649</v>
      </c>
      <c r="H235" t="s">
        <v>220</v>
      </c>
      <c r="I235" t="s">
        <v>225</v>
      </c>
    </row>
    <row r="236" spans="1:9" x14ac:dyDescent="0.3">
      <c r="A236" s="41">
        <v>46074</v>
      </c>
      <c r="B236" s="42">
        <v>0.41887731481481483</v>
      </c>
      <c r="C236" t="s">
        <v>221</v>
      </c>
      <c r="D236" t="s">
        <v>33</v>
      </c>
      <c r="E236" t="s">
        <v>301</v>
      </c>
      <c r="F236" t="s">
        <v>302</v>
      </c>
      <c r="G236">
        <v>-2600</v>
      </c>
      <c r="H236" t="s">
        <v>220</v>
      </c>
      <c r="I236" t="s">
        <v>225</v>
      </c>
    </row>
    <row r="237" spans="1:9" x14ac:dyDescent="0.3">
      <c r="A237" s="41">
        <v>46074</v>
      </c>
      <c r="B237" s="42">
        <v>0.41847222222222219</v>
      </c>
      <c r="C237" t="s">
        <v>221</v>
      </c>
      <c r="D237" t="s">
        <v>33</v>
      </c>
      <c r="E237" t="s">
        <v>301</v>
      </c>
      <c r="F237" t="s">
        <v>302</v>
      </c>
      <c r="G237">
        <v>29700</v>
      </c>
      <c r="H237" t="s">
        <v>220</v>
      </c>
      <c r="I237" t="s">
        <v>225</v>
      </c>
    </row>
    <row r="238" spans="1:9" x14ac:dyDescent="0.3">
      <c r="A238" s="41">
        <v>46074</v>
      </c>
      <c r="B238" s="42">
        <v>0.41834490740740737</v>
      </c>
      <c r="C238" t="s">
        <v>221</v>
      </c>
      <c r="D238" t="s">
        <v>33</v>
      </c>
      <c r="E238" t="s">
        <v>301</v>
      </c>
      <c r="F238" t="s">
        <v>302</v>
      </c>
      <c r="G238">
        <v>-29700</v>
      </c>
      <c r="H238" t="s">
        <v>220</v>
      </c>
      <c r="I238" t="s">
        <v>225</v>
      </c>
    </row>
    <row r="239" spans="1:9" x14ac:dyDescent="0.3">
      <c r="A239" s="41">
        <v>46074</v>
      </c>
      <c r="B239" s="42">
        <v>8.0231481481481487E-2</v>
      </c>
      <c r="C239" t="s">
        <v>218</v>
      </c>
      <c r="D239" t="s">
        <v>74</v>
      </c>
      <c r="E239" t="s">
        <v>31</v>
      </c>
      <c r="F239" t="s">
        <v>260</v>
      </c>
      <c r="G239">
        <v>127</v>
      </c>
      <c r="H239" t="s">
        <v>220</v>
      </c>
      <c r="I239" t="s">
        <v>60</v>
      </c>
    </row>
    <row r="240" spans="1:9" x14ac:dyDescent="0.3">
      <c r="A240" s="41">
        <v>46072</v>
      </c>
      <c r="B240" s="42">
        <v>0.47944444444444451</v>
      </c>
      <c r="C240" t="s">
        <v>233</v>
      </c>
      <c r="D240" t="s">
        <v>30</v>
      </c>
      <c r="E240" t="s">
        <v>31</v>
      </c>
      <c r="F240" t="s">
        <v>258</v>
      </c>
      <c r="G240">
        <v>4550</v>
      </c>
      <c r="H240" t="s">
        <v>220</v>
      </c>
      <c r="I240" t="s">
        <v>56</v>
      </c>
    </row>
    <row r="241" spans="1:9" x14ac:dyDescent="0.3">
      <c r="A241" s="41">
        <v>46072</v>
      </c>
      <c r="B241" s="42">
        <v>0.36857638888888888</v>
      </c>
      <c r="C241" t="s">
        <v>221</v>
      </c>
      <c r="D241" t="s">
        <v>44</v>
      </c>
      <c r="E241" t="s">
        <v>243</v>
      </c>
      <c r="F241" t="s">
        <v>251</v>
      </c>
      <c r="G241">
        <v>-36390</v>
      </c>
      <c r="H241" t="s">
        <v>220</v>
      </c>
      <c r="I241" t="s">
        <v>242</v>
      </c>
    </row>
    <row r="242" spans="1:9" x14ac:dyDescent="0.3">
      <c r="A242" s="41">
        <v>46071</v>
      </c>
      <c r="B242" s="42">
        <v>0.78266203703703707</v>
      </c>
      <c r="C242" t="s">
        <v>218</v>
      </c>
      <c r="D242" t="s">
        <v>238</v>
      </c>
      <c r="E242" t="s">
        <v>31</v>
      </c>
      <c r="F242" t="s">
        <v>325</v>
      </c>
      <c r="G242">
        <v>1</v>
      </c>
      <c r="H242" t="s">
        <v>220</v>
      </c>
      <c r="I242" t="s">
        <v>57</v>
      </c>
    </row>
    <row r="243" spans="1:9" x14ac:dyDescent="0.3">
      <c r="A243" s="41">
        <v>46070</v>
      </c>
      <c r="B243" s="42">
        <v>0.79171296296296301</v>
      </c>
      <c r="C243" t="s">
        <v>218</v>
      </c>
      <c r="D243" t="s">
        <v>229</v>
      </c>
      <c r="E243" t="s">
        <v>31</v>
      </c>
      <c r="F243" t="s">
        <v>237</v>
      </c>
      <c r="G243">
        <v>200000</v>
      </c>
      <c r="H243" t="s">
        <v>220</v>
      </c>
      <c r="I243" t="s">
        <v>60</v>
      </c>
    </row>
    <row r="244" spans="1:9" x14ac:dyDescent="0.3">
      <c r="A244" s="41">
        <v>46070</v>
      </c>
      <c r="B244" s="42">
        <v>0.79170138888888886</v>
      </c>
      <c r="C244" t="s">
        <v>218</v>
      </c>
      <c r="D244" t="s">
        <v>229</v>
      </c>
      <c r="E244" t="s">
        <v>31</v>
      </c>
      <c r="F244" t="s">
        <v>7</v>
      </c>
      <c r="G244">
        <v>-200000</v>
      </c>
      <c r="H244" t="s">
        <v>220</v>
      </c>
      <c r="I244" t="s">
        <v>57</v>
      </c>
    </row>
    <row r="245" spans="1:9" x14ac:dyDescent="0.3">
      <c r="A245" s="41">
        <v>46070</v>
      </c>
      <c r="B245" s="42">
        <v>0.79168981481481482</v>
      </c>
      <c r="C245" t="s">
        <v>218</v>
      </c>
      <c r="D245" t="s">
        <v>229</v>
      </c>
      <c r="E245" t="s">
        <v>31</v>
      </c>
      <c r="F245" t="s">
        <v>7</v>
      </c>
      <c r="G245">
        <v>-2000000</v>
      </c>
      <c r="H245" t="s">
        <v>220</v>
      </c>
      <c r="I245" t="s">
        <v>57</v>
      </c>
    </row>
    <row r="246" spans="1:9" x14ac:dyDescent="0.3">
      <c r="A246" s="41">
        <v>46070</v>
      </c>
      <c r="B246" s="42">
        <v>0.79168981481481482</v>
      </c>
      <c r="C246" t="s">
        <v>218</v>
      </c>
      <c r="D246" t="s">
        <v>229</v>
      </c>
      <c r="E246" t="s">
        <v>31</v>
      </c>
      <c r="F246" t="s">
        <v>7</v>
      </c>
      <c r="G246">
        <v>-500000</v>
      </c>
      <c r="H246" t="s">
        <v>220</v>
      </c>
      <c r="I246" t="s">
        <v>57</v>
      </c>
    </row>
    <row r="247" spans="1:9" x14ac:dyDescent="0.3">
      <c r="A247" s="41">
        <v>46070</v>
      </c>
      <c r="B247" s="42">
        <v>0.79168981481481482</v>
      </c>
      <c r="C247" t="s">
        <v>218</v>
      </c>
      <c r="D247" t="s">
        <v>229</v>
      </c>
      <c r="E247" t="s">
        <v>31</v>
      </c>
      <c r="F247" t="s">
        <v>7</v>
      </c>
      <c r="G247">
        <v>-100000</v>
      </c>
      <c r="H247" t="s">
        <v>220</v>
      </c>
      <c r="I247" t="s">
        <v>57</v>
      </c>
    </row>
    <row r="248" spans="1:9" x14ac:dyDescent="0.3">
      <c r="A248" s="41">
        <v>46070</v>
      </c>
      <c r="B248" s="42">
        <v>0.71758101851851852</v>
      </c>
      <c r="C248" t="s">
        <v>218</v>
      </c>
      <c r="D248" t="s">
        <v>218</v>
      </c>
      <c r="E248" t="s">
        <v>31</v>
      </c>
      <c r="F248" t="s">
        <v>326</v>
      </c>
      <c r="G248">
        <v>1</v>
      </c>
      <c r="H248" t="s">
        <v>220</v>
      </c>
      <c r="I248" t="s">
        <v>57</v>
      </c>
    </row>
    <row r="249" spans="1:9" x14ac:dyDescent="0.3">
      <c r="A249" s="41">
        <v>46070</v>
      </c>
      <c r="B249" s="42">
        <v>0.68396990740740737</v>
      </c>
      <c r="C249" t="s">
        <v>221</v>
      </c>
      <c r="D249" t="s">
        <v>42</v>
      </c>
      <c r="E249" t="s">
        <v>223</v>
      </c>
      <c r="F249" t="s">
        <v>327</v>
      </c>
      <c r="G249">
        <v>-5700</v>
      </c>
      <c r="H249" t="s">
        <v>220</v>
      </c>
      <c r="I249" t="s">
        <v>273</v>
      </c>
    </row>
    <row r="250" spans="1:9" x14ac:dyDescent="0.3">
      <c r="A250" s="41">
        <v>46069</v>
      </c>
      <c r="B250" s="42">
        <v>0.43041666666666673</v>
      </c>
      <c r="C250" t="s">
        <v>218</v>
      </c>
      <c r="D250" t="s">
        <v>328</v>
      </c>
      <c r="E250" t="s">
        <v>31</v>
      </c>
      <c r="F250" t="s">
        <v>329</v>
      </c>
      <c r="G250">
        <v>7350</v>
      </c>
      <c r="H250" t="s">
        <v>220</v>
      </c>
      <c r="I250" t="s">
        <v>57</v>
      </c>
    </row>
    <row r="251" spans="1:9" x14ac:dyDescent="0.3">
      <c r="A251" s="41">
        <v>46068</v>
      </c>
      <c r="B251" s="42">
        <v>0.54925925925925922</v>
      </c>
      <c r="C251" t="s">
        <v>221</v>
      </c>
      <c r="D251" t="s">
        <v>36</v>
      </c>
      <c r="E251" t="s">
        <v>281</v>
      </c>
      <c r="F251" t="s">
        <v>282</v>
      </c>
      <c r="G251">
        <v>-669</v>
      </c>
      <c r="H251" t="s">
        <v>220</v>
      </c>
      <c r="I251" t="s">
        <v>273</v>
      </c>
    </row>
    <row r="252" spans="1:9" x14ac:dyDescent="0.3">
      <c r="A252" s="41">
        <v>46068</v>
      </c>
      <c r="B252" s="42">
        <v>0.54925925925925922</v>
      </c>
      <c r="C252" t="s">
        <v>221</v>
      </c>
      <c r="D252" t="s">
        <v>42</v>
      </c>
      <c r="E252" t="s">
        <v>316</v>
      </c>
      <c r="F252" t="s">
        <v>330</v>
      </c>
      <c r="G252">
        <v>-669</v>
      </c>
      <c r="H252" t="s">
        <v>220</v>
      </c>
      <c r="I252" t="s">
        <v>228</v>
      </c>
    </row>
    <row r="253" spans="1:9" x14ac:dyDescent="0.3">
      <c r="A253" s="41">
        <v>46068</v>
      </c>
      <c r="B253" s="42">
        <v>0.54888888888888887</v>
      </c>
      <c r="C253" t="s">
        <v>221</v>
      </c>
      <c r="D253" t="s">
        <v>36</v>
      </c>
      <c r="E253" t="s">
        <v>281</v>
      </c>
      <c r="F253" t="s">
        <v>282</v>
      </c>
      <c r="G253">
        <v>2669</v>
      </c>
      <c r="H253" t="s">
        <v>220</v>
      </c>
      <c r="I253" t="s">
        <v>273</v>
      </c>
    </row>
    <row r="254" spans="1:9" x14ac:dyDescent="0.3">
      <c r="A254" s="41">
        <v>46067</v>
      </c>
      <c r="B254" s="42">
        <v>0.68510416666666663</v>
      </c>
      <c r="C254" t="s">
        <v>221</v>
      </c>
      <c r="D254" t="s">
        <v>42</v>
      </c>
      <c r="E254" t="s">
        <v>316</v>
      </c>
      <c r="F254" t="s">
        <v>330</v>
      </c>
      <c r="G254">
        <v>-2669</v>
      </c>
      <c r="H254" t="s">
        <v>220</v>
      </c>
      <c r="I254" t="s">
        <v>228</v>
      </c>
    </row>
    <row r="255" spans="1:9" x14ac:dyDescent="0.3">
      <c r="A255" s="41">
        <v>46067</v>
      </c>
      <c r="B255" s="42">
        <v>0.68509259259259259</v>
      </c>
      <c r="C255" t="s">
        <v>221</v>
      </c>
      <c r="D255" t="s">
        <v>36</v>
      </c>
      <c r="E255" t="s">
        <v>281</v>
      </c>
      <c r="F255" t="s">
        <v>282</v>
      </c>
      <c r="G255">
        <v>-2669</v>
      </c>
      <c r="H255" t="s">
        <v>220</v>
      </c>
      <c r="I255" t="s">
        <v>273</v>
      </c>
    </row>
    <row r="256" spans="1:9" x14ac:dyDescent="0.3">
      <c r="A256" s="41">
        <v>46067</v>
      </c>
      <c r="B256" s="42">
        <v>0.68410879629629628</v>
      </c>
      <c r="C256" t="s">
        <v>218</v>
      </c>
      <c r="D256" t="s">
        <v>218</v>
      </c>
      <c r="E256" t="s">
        <v>31</v>
      </c>
      <c r="F256" t="s">
        <v>331</v>
      </c>
      <c r="G256">
        <v>1</v>
      </c>
      <c r="H256" t="s">
        <v>220</v>
      </c>
      <c r="I256" t="s">
        <v>70</v>
      </c>
    </row>
    <row r="257" spans="1:9" x14ac:dyDescent="0.3">
      <c r="A257" s="41">
        <v>46067</v>
      </c>
      <c r="B257" s="42">
        <v>0.66929398148148145</v>
      </c>
      <c r="C257" t="s">
        <v>218</v>
      </c>
      <c r="D257" t="s">
        <v>328</v>
      </c>
      <c r="E257" t="s">
        <v>31</v>
      </c>
      <c r="F257" t="s">
        <v>332</v>
      </c>
      <c r="G257">
        <v>5000</v>
      </c>
      <c r="H257" t="s">
        <v>220</v>
      </c>
      <c r="I257" t="s">
        <v>64</v>
      </c>
    </row>
    <row r="258" spans="1:9" x14ac:dyDescent="0.3">
      <c r="A258" s="41">
        <v>46067</v>
      </c>
      <c r="B258" s="42">
        <v>0.66929398148148145</v>
      </c>
      <c r="C258" t="s">
        <v>218</v>
      </c>
      <c r="D258" t="s">
        <v>218</v>
      </c>
      <c r="E258" t="s">
        <v>31</v>
      </c>
      <c r="F258" t="s">
        <v>333</v>
      </c>
      <c r="G258">
        <v>303</v>
      </c>
      <c r="H258" t="s">
        <v>220</v>
      </c>
      <c r="I258" t="s">
        <v>64</v>
      </c>
    </row>
    <row r="259" spans="1:9" x14ac:dyDescent="0.3">
      <c r="A259" s="41">
        <v>46067</v>
      </c>
      <c r="B259" s="42">
        <v>0.66918981481481477</v>
      </c>
      <c r="C259" t="s">
        <v>221</v>
      </c>
      <c r="D259" t="s">
        <v>37</v>
      </c>
      <c r="E259" t="s">
        <v>271</v>
      </c>
      <c r="F259" t="s">
        <v>334</v>
      </c>
      <c r="G259">
        <v>-27550</v>
      </c>
      <c r="H259" t="s">
        <v>220</v>
      </c>
      <c r="I259" t="s">
        <v>335</v>
      </c>
    </row>
    <row r="260" spans="1:9" x14ac:dyDescent="0.3">
      <c r="A260" s="41">
        <v>46067</v>
      </c>
      <c r="B260" s="42">
        <v>0.62062499999999998</v>
      </c>
      <c r="C260" t="s">
        <v>218</v>
      </c>
      <c r="D260" t="s">
        <v>229</v>
      </c>
      <c r="E260" t="s">
        <v>31</v>
      </c>
      <c r="F260" t="s">
        <v>7</v>
      </c>
      <c r="G260">
        <v>15000</v>
      </c>
      <c r="H260" t="s">
        <v>220</v>
      </c>
      <c r="I260" t="s">
        <v>64</v>
      </c>
    </row>
    <row r="261" spans="1:9" x14ac:dyDescent="0.3">
      <c r="A261" s="41">
        <v>46067</v>
      </c>
      <c r="B261" s="42">
        <v>3.8981481481481478E-2</v>
      </c>
      <c r="C261" t="s">
        <v>218</v>
      </c>
      <c r="D261" t="s">
        <v>31</v>
      </c>
      <c r="E261" t="s">
        <v>31</v>
      </c>
      <c r="F261" t="s">
        <v>230</v>
      </c>
      <c r="G261">
        <v>162</v>
      </c>
      <c r="H261" t="s">
        <v>220</v>
      </c>
      <c r="I261" t="s">
        <v>57</v>
      </c>
    </row>
    <row r="262" spans="1:9" x14ac:dyDescent="0.3">
      <c r="A262" s="41">
        <v>46067</v>
      </c>
      <c r="B262" s="42">
        <v>3.5902777777777783E-2</v>
      </c>
      <c r="C262" t="s">
        <v>218</v>
      </c>
      <c r="D262" t="s">
        <v>31</v>
      </c>
      <c r="E262" t="s">
        <v>31</v>
      </c>
      <c r="F262" t="s">
        <v>230</v>
      </c>
      <c r="G262">
        <v>6</v>
      </c>
      <c r="H262" t="s">
        <v>220</v>
      </c>
      <c r="I262" t="s">
        <v>56</v>
      </c>
    </row>
    <row r="263" spans="1:9" x14ac:dyDescent="0.3">
      <c r="A263" s="41">
        <v>46066</v>
      </c>
      <c r="B263" s="42">
        <v>0.39315972222222217</v>
      </c>
      <c r="C263" t="s">
        <v>233</v>
      </c>
      <c r="D263" t="s">
        <v>29</v>
      </c>
      <c r="E263" t="s">
        <v>31</v>
      </c>
      <c r="F263" t="s">
        <v>336</v>
      </c>
      <c r="G263">
        <v>5197820</v>
      </c>
      <c r="H263" t="s">
        <v>220</v>
      </c>
      <c r="I263" t="s">
        <v>57</v>
      </c>
    </row>
    <row r="264" spans="1:9" x14ac:dyDescent="0.3">
      <c r="A264" s="41">
        <v>46062</v>
      </c>
      <c r="B264" s="42">
        <v>0.57466435185185183</v>
      </c>
      <c r="C264" t="s">
        <v>218</v>
      </c>
      <c r="D264" t="s">
        <v>238</v>
      </c>
      <c r="E264" t="s">
        <v>31</v>
      </c>
      <c r="F264" t="s">
        <v>323</v>
      </c>
      <c r="G264">
        <v>120820</v>
      </c>
      <c r="H264" t="s">
        <v>220</v>
      </c>
      <c r="I264" t="s">
        <v>57</v>
      </c>
    </row>
    <row r="265" spans="1:9" x14ac:dyDescent="0.3">
      <c r="A265" s="41">
        <v>46055</v>
      </c>
      <c r="B265" s="42">
        <v>0.33539351851851851</v>
      </c>
      <c r="C265" t="s">
        <v>218</v>
      </c>
      <c r="D265" t="s">
        <v>229</v>
      </c>
      <c r="E265" t="s">
        <v>31</v>
      </c>
      <c r="F265" t="s">
        <v>231</v>
      </c>
      <c r="G265">
        <v>100000</v>
      </c>
      <c r="H265" t="s">
        <v>220</v>
      </c>
      <c r="I265" t="s">
        <v>78</v>
      </c>
    </row>
    <row r="266" spans="1:9" x14ac:dyDescent="0.3">
      <c r="A266" s="41">
        <v>46055</v>
      </c>
      <c r="B266" s="42">
        <v>0.33539351851851851</v>
      </c>
      <c r="C266" t="s">
        <v>218</v>
      </c>
      <c r="D266" t="s">
        <v>229</v>
      </c>
      <c r="E266" t="s">
        <v>31</v>
      </c>
      <c r="F266" t="s">
        <v>232</v>
      </c>
      <c r="G266">
        <v>-100000</v>
      </c>
      <c r="H266" t="s">
        <v>220</v>
      </c>
      <c r="I266" t="s">
        <v>60</v>
      </c>
    </row>
    <row r="267" spans="1:9" x14ac:dyDescent="0.3">
      <c r="A267" s="41">
        <v>46055</v>
      </c>
      <c r="B267" s="42">
        <v>0</v>
      </c>
      <c r="C267" t="s">
        <v>221</v>
      </c>
      <c r="D267" t="s">
        <v>42</v>
      </c>
      <c r="E267" t="s">
        <v>222</v>
      </c>
      <c r="F267" t="s">
        <v>337</v>
      </c>
      <c r="G267">
        <v>50182</v>
      </c>
      <c r="H267" t="s">
        <v>220</v>
      </c>
      <c r="I267" t="s">
        <v>242</v>
      </c>
    </row>
    <row r="268" spans="1:9" x14ac:dyDescent="0.3">
      <c r="A268" s="41">
        <v>46054</v>
      </c>
      <c r="B268" s="42">
        <v>0.43028935185185191</v>
      </c>
      <c r="C268" t="s">
        <v>218</v>
      </c>
      <c r="D268" t="s">
        <v>31</v>
      </c>
      <c r="E268" t="s">
        <v>31</v>
      </c>
      <c r="F268" t="s">
        <v>230</v>
      </c>
      <c r="G268">
        <v>250000</v>
      </c>
      <c r="H268" t="s">
        <v>220</v>
      </c>
      <c r="I268" t="s">
        <v>57</v>
      </c>
    </row>
    <row r="269" spans="1:9" x14ac:dyDescent="0.3">
      <c r="A269" s="41">
        <v>46054</v>
      </c>
      <c r="B269" s="42">
        <v>0.27711805555555558</v>
      </c>
      <c r="C269" t="s">
        <v>233</v>
      </c>
      <c r="D269" t="s">
        <v>28</v>
      </c>
      <c r="E269" t="s">
        <v>31</v>
      </c>
      <c r="F269" t="s">
        <v>234</v>
      </c>
      <c r="G269">
        <v>43</v>
      </c>
      <c r="H269" t="s">
        <v>220</v>
      </c>
      <c r="I269" t="s">
        <v>63</v>
      </c>
    </row>
    <row r="270" spans="1:9" x14ac:dyDescent="0.3">
      <c r="A270" s="41">
        <v>46054</v>
      </c>
      <c r="B270" s="42">
        <v>0.14072916666666671</v>
      </c>
      <c r="C270" t="s">
        <v>233</v>
      </c>
      <c r="D270" t="s">
        <v>28</v>
      </c>
      <c r="E270" t="s">
        <v>31</v>
      </c>
      <c r="F270" t="s">
        <v>235</v>
      </c>
      <c r="G270">
        <v>2</v>
      </c>
      <c r="H270" t="s">
        <v>220</v>
      </c>
      <c r="I270" t="s">
        <v>70</v>
      </c>
    </row>
    <row r="271" spans="1:9" x14ac:dyDescent="0.3">
      <c r="A271" s="41">
        <v>46054</v>
      </c>
      <c r="B271" s="42">
        <v>8.548611111111111E-2</v>
      </c>
      <c r="C271" t="s">
        <v>233</v>
      </c>
      <c r="D271" t="s">
        <v>28</v>
      </c>
      <c r="E271" t="s">
        <v>31</v>
      </c>
      <c r="F271" t="s">
        <v>236</v>
      </c>
      <c r="G271">
        <v>0</v>
      </c>
      <c r="H271" t="s">
        <v>220</v>
      </c>
      <c r="I271" t="s">
        <v>64</v>
      </c>
    </row>
    <row r="272" spans="1:9" x14ac:dyDescent="0.3">
      <c r="A272" s="41">
        <v>46051</v>
      </c>
      <c r="B272" s="42">
        <v>0.54271990740740739</v>
      </c>
      <c r="C272" t="s">
        <v>221</v>
      </c>
      <c r="D272" t="s">
        <v>37</v>
      </c>
      <c r="E272" t="s">
        <v>271</v>
      </c>
      <c r="F272" t="s">
        <v>272</v>
      </c>
      <c r="G272">
        <v>-10000</v>
      </c>
      <c r="H272" t="s">
        <v>220</v>
      </c>
      <c r="I272" t="s">
        <v>273</v>
      </c>
    </row>
    <row r="273" spans="1:9" x14ac:dyDescent="0.3">
      <c r="A273" s="41">
        <v>46051</v>
      </c>
      <c r="B273" s="42">
        <v>0.54166666666666663</v>
      </c>
      <c r="C273" t="s">
        <v>221</v>
      </c>
      <c r="D273" t="s">
        <v>42</v>
      </c>
      <c r="E273" t="s">
        <v>316</v>
      </c>
      <c r="F273" t="s">
        <v>276</v>
      </c>
      <c r="G273">
        <v>-10000</v>
      </c>
      <c r="H273" t="s">
        <v>220</v>
      </c>
      <c r="I273" t="s">
        <v>57</v>
      </c>
    </row>
    <row r="274" spans="1:9" x14ac:dyDescent="0.3">
      <c r="A274" s="41">
        <v>46050</v>
      </c>
      <c r="B274" s="42">
        <v>0.68671296296296291</v>
      </c>
      <c r="C274" t="s">
        <v>218</v>
      </c>
      <c r="D274" t="s">
        <v>252</v>
      </c>
      <c r="E274" t="s">
        <v>31</v>
      </c>
      <c r="F274" t="s">
        <v>338</v>
      </c>
      <c r="G274">
        <v>-439</v>
      </c>
      <c r="H274" t="s">
        <v>220</v>
      </c>
      <c r="I274" t="s">
        <v>57</v>
      </c>
    </row>
    <row r="275" spans="1:9" x14ac:dyDescent="0.3">
      <c r="A275" s="41">
        <v>46050</v>
      </c>
      <c r="B275" s="42">
        <v>0.68629629629629629</v>
      </c>
      <c r="C275" t="s">
        <v>218</v>
      </c>
      <c r="D275" t="s">
        <v>252</v>
      </c>
      <c r="E275" t="s">
        <v>31</v>
      </c>
      <c r="F275" t="s">
        <v>338</v>
      </c>
      <c r="G275">
        <v>-222516</v>
      </c>
      <c r="H275" t="s">
        <v>220</v>
      </c>
      <c r="I275" t="s">
        <v>57</v>
      </c>
    </row>
    <row r="276" spans="1:9" x14ac:dyDescent="0.3">
      <c r="A276" s="41">
        <v>46050</v>
      </c>
      <c r="B276" s="42">
        <v>0.68521990740740746</v>
      </c>
      <c r="C276" t="s">
        <v>218</v>
      </c>
      <c r="D276" t="s">
        <v>31</v>
      </c>
      <c r="E276" t="s">
        <v>31</v>
      </c>
      <c r="F276" t="s">
        <v>230</v>
      </c>
      <c r="G276">
        <v>210000</v>
      </c>
      <c r="H276" t="s">
        <v>220</v>
      </c>
      <c r="I276" t="s">
        <v>57</v>
      </c>
    </row>
    <row r="277" spans="1:9" x14ac:dyDescent="0.3">
      <c r="A277" s="41">
        <v>46049</v>
      </c>
      <c r="B277" s="42">
        <v>0.74490740740740746</v>
      </c>
      <c r="C277" t="s">
        <v>221</v>
      </c>
      <c r="D277" t="s">
        <v>44</v>
      </c>
      <c r="E277" t="s">
        <v>240</v>
      </c>
      <c r="F277" t="s">
        <v>241</v>
      </c>
      <c r="G277">
        <v>-287240</v>
      </c>
      <c r="H277" t="s">
        <v>220</v>
      </c>
      <c r="I277" t="s">
        <v>242</v>
      </c>
    </row>
    <row r="278" spans="1:9" x14ac:dyDescent="0.3">
      <c r="A278" s="41">
        <v>46048</v>
      </c>
      <c r="B278" s="42">
        <v>0.77754629629629635</v>
      </c>
      <c r="C278" t="s">
        <v>218</v>
      </c>
      <c r="D278" t="s">
        <v>229</v>
      </c>
      <c r="E278" t="s">
        <v>31</v>
      </c>
      <c r="F278" t="s">
        <v>7</v>
      </c>
      <c r="G278">
        <v>-150000</v>
      </c>
      <c r="H278" t="s">
        <v>220</v>
      </c>
      <c r="I278" t="s">
        <v>57</v>
      </c>
    </row>
    <row r="279" spans="1:9" x14ac:dyDescent="0.3">
      <c r="A279" s="41">
        <v>46048</v>
      </c>
      <c r="B279" s="42">
        <v>0.60247685185185185</v>
      </c>
      <c r="C279" t="s">
        <v>218</v>
      </c>
      <c r="D279" t="s">
        <v>31</v>
      </c>
      <c r="E279" t="s">
        <v>31</v>
      </c>
      <c r="F279" t="s">
        <v>230</v>
      </c>
      <c r="G279">
        <v>100000</v>
      </c>
      <c r="H279" t="s">
        <v>220</v>
      </c>
      <c r="I279" t="s">
        <v>57</v>
      </c>
    </row>
    <row r="280" spans="1:9" x14ac:dyDescent="0.3">
      <c r="A280" s="41">
        <v>46048</v>
      </c>
      <c r="B280" s="42">
        <v>0.53030092592592593</v>
      </c>
      <c r="C280" t="s">
        <v>218</v>
      </c>
      <c r="D280" t="s">
        <v>218</v>
      </c>
      <c r="E280" t="s">
        <v>31</v>
      </c>
      <c r="F280" t="s">
        <v>339</v>
      </c>
      <c r="G280">
        <v>24000</v>
      </c>
      <c r="H280" t="s">
        <v>220</v>
      </c>
      <c r="I280" t="s">
        <v>56</v>
      </c>
    </row>
    <row r="281" spans="1:9" x14ac:dyDescent="0.3">
      <c r="A281" s="41">
        <v>46048</v>
      </c>
      <c r="B281" s="42">
        <v>0.49837962962962962</v>
      </c>
      <c r="C281" t="s">
        <v>221</v>
      </c>
      <c r="D281" t="s">
        <v>44</v>
      </c>
      <c r="E281" t="s">
        <v>243</v>
      </c>
      <c r="F281" t="s">
        <v>244</v>
      </c>
      <c r="G281">
        <v>-2750</v>
      </c>
      <c r="H281" t="s">
        <v>220</v>
      </c>
      <c r="I281" t="s">
        <v>242</v>
      </c>
    </row>
    <row r="282" spans="1:9" x14ac:dyDescent="0.3">
      <c r="A282" s="41">
        <v>46048</v>
      </c>
      <c r="B282" s="42">
        <v>0.4965162037037037</v>
      </c>
      <c r="C282" t="s">
        <v>221</v>
      </c>
      <c r="D282" t="s">
        <v>44</v>
      </c>
      <c r="E282" t="s">
        <v>243</v>
      </c>
      <c r="F282" t="s">
        <v>244</v>
      </c>
      <c r="G282">
        <v>-240</v>
      </c>
      <c r="H282" t="s">
        <v>220</v>
      </c>
      <c r="I282" t="s">
        <v>242</v>
      </c>
    </row>
    <row r="283" spans="1:9" x14ac:dyDescent="0.3">
      <c r="A283" s="41">
        <v>46048</v>
      </c>
      <c r="B283" s="42">
        <v>0.33239583333333328</v>
      </c>
      <c r="C283" t="s">
        <v>218</v>
      </c>
      <c r="D283" t="s">
        <v>229</v>
      </c>
      <c r="E283" t="s">
        <v>31</v>
      </c>
      <c r="F283" t="s">
        <v>232</v>
      </c>
      <c r="G283">
        <v>-200000</v>
      </c>
      <c r="H283" t="s">
        <v>220</v>
      </c>
      <c r="I283" t="s">
        <v>60</v>
      </c>
    </row>
    <row r="284" spans="1:9" x14ac:dyDescent="0.3">
      <c r="A284" s="41">
        <v>46048</v>
      </c>
      <c r="B284" s="42">
        <v>0.33239583333333328</v>
      </c>
      <c r="C284" t="s">
        <v>218</v>
      </c>
      <c r="D284" t="s">
        <v>229</v>
      </c>
      <c r="E284" t="s">
        <v>31</v>
      </c>
      <c r="F284" t="s">
        <v>231</v>
      </c>
      <c r="G284">
        <v>200000</v>
      </c>
      <c r="H284" t="s">
        <v>220</v>
      </c>
      <c r="I284" t="s">
        <v>77</v>
      </c>
    </row>
    <row r="285" spans="1:9" x14ac:dyDescent="0.3">
      <c r="A285" s="41">
        <v>46047</v>
      </c>
      <c r="B285" s="42">
        <v>0.70134259259259257</v>
      </c>
      <c r="C285" t="s">
        <v>218</v>
      </c>
      <c r="D285" t="s">
        <v>218</v>
      </c>
      <c r="E285" t="s">
        <v>31</v>
      </c>
      <c r="F285" t="s">
        <v>340</v>
      </c>
      <c r="G285">
        <v>1</v>
      </c>
      <c r="H285" t="s">
        <v>220</v>
      </c>
      <c r="I285" t="s">
        <v>56</v>
      </c>
    </row>
    <row r="286" spans="1:9" x14ac:dyDescent="0.3">
      <c r="A286" s="41">
        <v>46046</v>
      </c>
      <c r="B286" s="42">
        <v>0.18072916666666669</v>
      </c>
      <c r="C286" t="s">
        <v>233</v>
      </c>
      <c r="D286" t="s">
        <v>28</v>
      </c>
      <c r="E286" t="s">
        <v>31</v>
      </c>
      <c r="F286" t="s">
        <v>234</v>
      </c>
      <c r="G286">
        <v>0</v>
      </c>
      <c r="H286" t="s">
        <v>220</v>
      </c>
      <c r="I286" t="s">
        <v>66</v>
      </c>
    </row>
    <row r="287" spans="1:9" x14ac:dyDescent="0.3">
      <c r="A287" s="41">
        <v>46046</v>
      </c>
      <c r="B287" s="42">
        <v>0.12743055555555549</v>
      </c>
      <c r="C287" t="s">
        <v>233</v>
      </c>
      <c r="D287" t="s">
        <v>28</v>
      </c>
      <c r="E287" t="s">
        <v>31</v>
      </c>
      <c r="F287" t="s">
        <v>248</v>
      </c>
      <c r="G287">
        <v>3</v>
      </c>
      <c r="H287" t="s">
        <v>220</v>
      </c>
      <c r="I287" t="s">
        <v>67</v>
      </c>
    </row>
    <row r="288" spans="1:9" x14ac:dyDescent="0.3">
      <c r="A288" s="41">
        <v>46046</v>
      </c>
      <c r="B288" s="42">
        <v>0.1149421296296296</v>
      </c>
      <c r="C288" t="s">
        <v>218</v>
      </c>
      <c r="D288" t="s">
        <v>238</v>
      </c>
      <c r="E288" t="s">
        <v>31</v>
      </c>
      <c r="F288" t="s">
        <v>249</v>
      </c>
      <c r="G288">
        <v>0</v>
      </c>
      <c r="H288" t="s">
        <v>220</v>
      </c>
      <c r="I288" t="s">
        <v>65</v>
      </c>
    </row>
    <row r="289" spans="1:9" x14ac:dyDescent="0.3">
      <c r="A289" s="41">
        <v>46046</v>
      </c>
      <c r="B289" s="42">
        <v>9.4421296296296295E-2</v>
      </c>
      <c r="C289" t="s">
        <v>233</v>
      </c>
      <c r="D289" t="s">
        <v>28</v>
      </c>
      <c r="E289" t="s">
        <v>31</v>
      </c>
      <c r="F289" t="s">
        <v>250</v>
      </c>
      <c r="G289">
        <v>0</v>
      </c>
      <c r="H289" t="s">
        <v>220</v>
      </c>
      <c r="I289" t="s">
        <v>71</v>
      </c>
    </row>
    <row r="290" spans="1:9" x14ac:dyDescent="0.3">
      <c r="A290" s="41">
        <v>46045</v>
      </c>
      <c r="B290" s="42">
        <v>0.60722222222222222</v>
      </c>
      <c r="C290" t="s">
        <v>218</v>
      </c>
      <c r="D290" t="s">
        <v>31</v>
      </c>
      <c r="E290" t="s">
        <v>31</v>
      </c>
      <c r="F290" t="s">
        <v>230</v>
      </c>
      <c r="G290">
        <v>70000</v>
      </c>
      <c r="H290" t="s">
        <v>220</v>
      </c>
      <c r="I290" t="s">
        <v>57</v>
      </c>
    </row>
    <row r="291" spans="1:9" x14ac:dyDescent="0.3">
      <c r="A291" s="41">
        <v>46044</v>
      </c>
      <c r="B291" s="42">
        <v>0.84734953703703708</v>
      </c>
      <c r="C291" t="s">
        <v>218</v>
      </c>
      <c r="D291" t="s">
        <v>229</v>
      </c>
      <c r="E291" t="s">
        <v>31</v>
      </c>
      <c r="F291" t="s">
        <v>237</v>
      </c>
      <c r="G291">
        <v>100000</v>
      </c>
      <c r="H291" t="s">
        <v>220</v>
      </c>
      <c r="I291" t="s">
        <v>60</v>
      </c>
    </row>
    <row r="292" spans="1:9" x14ac:dyDescent="0.3">
      <c r="A292" s="41">
        <v>46044</v>
      </c>
      <c r="B292" s="42">
        <v>0.84733796296296293</v>
      </c>
      <c r="C292" t="s">
        <v>218</v>
      </c>
      <c r="D292" t="s">
        <v>229</v>
      </c>
      <c r="E292" t="s">
        <v>31</v>
      </c>
      <c r="F292" t="s">
        <v>7</v>
      </c>
      <c r="G292">
        <v>-100000</v>
      </c>
      <c r="H292" t="s">
        <v>220</v>
      </c>
      <c r="I292" t="s">
        <v>57</v>
      </c>
    </row>
    <row r="293" spans="1:9" x14ac:dyDescent="0.3">
      <c r="A293" s="41">
        <v>46044</v>
      </c>
      <c r="B293" s="42">
        <v>0.84542824074074074</v>
      </c>
      <c r="C293" t="s">
        <v>218</v>
      </c>
      <c r="D293" t="s">
        <v>229</v>
      </c>
      <c r="E293" t="s">
        <v>31</v>
      </c>
      <c r="F293" t="s">
        <v>7</v>
      </c>
      <c r="G293">
        <v>-200000</v>
      </c>
      <c r="H293" t="s">
        <v>220</v>
      </c>
      <c r="I293" t="s">
        <v>57</v>
      </c>
    </row>
    <row r="294" spans="1:9" x14ac:dyDescent="0.3">
      <c r="A294" s="41">
        <v>46044</v>
      </c>
      <c r="B294" s="42">
        <v>0.84542824074074074</v>
      </c>
      <c r="C294" t="s">
        <v>218</v>
      </c>
      <c r="D294" t="s">
        <v>229</v>
      </c>
      <c r="E294" t="s">
        <v>31</v>
      </c>
      <c r="F294" t="s">
        <v>237</v>
      </c>
      <c r="G294">
        <v>200000</v>
      </c>
      <c r="H294" t="s">
        <v>220</v>
      </c>
      <c r="I294" t="s">
        <v>60</v>
      </c>
    </row>
    <row r="295" spans="1:9" x14ac:dyDescent="0.3">
      <c r="A295" s="41">
        <v>46044</v>
      </c>
      <c r="B295" s="42">
        <v>0.50118055555555552</v>
      </c>
      <c r="C295" t="s">
        <v>221</v>
      </c>
      <c r="D295" t="s">
        <v>39</v>
      </c>
      <c r="E295" t="s">
        <v>245</v>
      </c>
      <c r="F295" t="s">
        <v>267</v>
      </c>
      <c r="G295">
        <v>0</v>
      </c>
      <c r="H295" t="s">
        <v>220</v>
      </c>
      <c r="I295" t="s">
        <v>268</v>
      </c>
    </row>
    <row r="296" spans="1:9" x14ac:dyDescent="0.3">
      <c r="A296" s="41">
        <v>46044</v>
      </c>
      <c r="B296" s="42">
        <v>0.4224074074074074</v>
      </c>
      <c r="C296" t="s">
        <v>218</v>
      </c>
      <c r="D296" t="s">
        <v>229</v>
      </c>
      <c r="E296" t="s">
        <v>31</v>
      </c>
      <c r="F296" t="s">
        <v>7</v>
      </c>
      <c r="G296">
        <v>2500000</v>
      </c>
      <c r="H296" t="s">
        <v>220</v>
      </c>
      <c r="I296" t="s">
        <v>76</v>
      </c>
    </row>
    <row r="297" spans="1:9" x14ac:dyDescent="0.3">
      <c r="A297" s="41">
        <v>46043</v>
      </c>
      <c r="B297" s="42">
        <v>0.80002314814814812</v>
      </c>
      <c r="C297" t="s">
        <v>221</v>
      </c>
      <c r="D297" t="s">
        <v>39</v>
      </c>
      <c r="E297" t="s">
        <v>245</v>
      </c>
      <c r="F297" t="s">
        <v>267</v>
      </c>
      <c r="G297">
        <v>0</v>
      </c>
      <c r="H297" t="s">
        <v>220</v>
      </c>
      <c r="I297" t="s">
        <v>268</v>
      </c>
    </row>
    <row r="298" spans="1:9" x14ac:dyDescent="0.3">
      <c r="A298" s="41">
        <v>46043</v>
      </c>
      <c r="B298" s="42">
        <v>0.45329861111111108</v>
      </c>
      <c r="C298" t="s">
        <v>218</v>
      </c>
      <c r="D298" t="s">
        <v>229</v>
      </c>
      <c r="E298" t="s">
        <v>31</v>
      </c>
      <c r="F298" t="s">
        <v>7</v>
      </c>
      <c r="G298">
        <v>-1200000</v>
      </c>
      <c r="H298" t="s">
        <v>220</v>
      </c>
      <c r="I298" t="s">
        <v>57</v>
      </c>
    </row>
    <row r="299" spans="1:9" x14ac:dyDescent="0.3">
      <c r="A299" s="41">
        <v>46041</v>
      </c>
      <c r="B299" s="42">
        <v>0.80005787037037035</v>
      </c>
      <c r="C299" t="s">
        <v>218</v>
      </c>
      <c r="D299" t="s">
        <v>252</v>
      </c>
      <c r="E299" t="s">
        <v>31</v>
      </c>
      <c r="F299" t="s">
        <v>338</v>
      </c>
      <c r="G299">
        <v>-49702</v>
      </c>
      <c r="H299" t="s">
        <v>220</v>
      </c>
      <c r="I299" t="s">
        <v>57</v>
      </c>
    </row>
    <row r="300" spans="1:9" x14ac:dyDescent="0.3">
      <c r="A300" s="41">
        <v>46041</v>
      </c>
      <c r="B300" s="42">
        <v>0.47652777777777777</v>
      </c>
      <c r="C300" t="s">
        <v>233</v>
      </c>
      <c r="D300" t="s">
        <v>28</v>
      </c>
      <c r="E300" t="s">
        <v>31</v>
      </c>
      <c r="F300" t="s">
        <v>258</v>
      </c>
      <c r="G300">
        <v>11380</v>
      </c>
      <c r="H300" t="s">
        <v>220</v>
      </c>
      <c r="I300" t="s">
        <v>56</v>
      </c>
    </row>
    <row r="301" spans="1:9" x14ac:dyDescent="0.3">
      <c r="A301" s="41">
        <v>46041</v>
      </c>
      <c r="B301" s="42">
        <v>0.38780092592592591</v>
      </c>
      <c r="C301" t="s">
        <v>221</v>
      </c>
      <c r="D301" t="s">
        <v>44</v>
      </c>
      <c r="E301" t="s">
        <v>243</v>
      </c>
      <c r="F301" t="s">
        <v>251</v>
      </c>
      <c r="G301">
        <v>-36390</v>
      </c>
      <c r="H301" t="s">
        <v>220</v>
      </c>
      <c r="I301" t="s">
        <v>242</v>
      </c>
    </row>
    <row r="302" spans="1:9" x14ac:dyDescent="0.3">
      <c r="A302" s="41">
        <v>46040</v>
      </c>
      <c r="B302" s="42">
        <v>0.82556712962962964</v>
      </c>
      <c r="C302" t="s">
        <v>221</v>
      </c>
      <c r="D302" t="s">
        <v>37</v>
      </c>
      <c r="E302" t="s">
        <v>341</v>
      </c>
      <c r="F302" t="s">
        <v>342</v>
      </c>
      <c r="G302">
        <v>-18911</v>
      </c>
      <c r="H302" t="s">
        <v>220</v>
      </c>
      <c r="I302" t="s">
        <v>225</v>
      </c>
    </row>
    <row r="303" spans="1:9" x14ac:dyDescent="0.3">
      <c r="A303" s="41">
        <v>46040</v>
      </c>
      <c r="B303" s="42">
        <v>0.82556712962962964</v>
      </c>
      <c r="C303" t="s">
        <v>221</v>
      </c>
      <c r="D303" t="s">
        <v>37</v>
      </c>
      <c r="E303" t="s">
        <v>341</v>
      </c>
      <c r="F303" t="s">
        <v>342</v>
      </c>
      <c r="G303">
        <v>-2139</v>
      </c>
      <c r="H303" t="s">
        <v>220</v>
      </c>
      <c r="I303" t="s">
        <v>289</v>
      </c>
    </row>
    <row r="304" spans="1:9" x14ac:dyDescent="0.3">
      <c r="A304" s="41">
        <v>46039</v>
      </c>
      <c r="B304" s="42">
        <v>0.90197916666666667</v>
      </c>
      <c r="C304" t="s">
        <v>218</v>
      </c>
      <c r="D304" t="s">
        <v>229</v>
      </c>
      <c r="E304" t="s">
        <v>31</v>
      </c>
      <c r="F304" t="s">
        <v>7</v>
      </c>
      <c r="G304">
        <v>12700</v>
      </c>
      <c r="H304" t="s">
        <v>220</v>
      </c>
      <c r="I304" t="s">
        <v>57</v>
      </c>
    </row>
    <row r="305" spans="1:9" x14ac:dyDescent="0.3">
      <c r="A305" s="41">
        <v>46039</v>
      </c>
      <c r="B305" s="42">
        <v>0.90197916666666667</v>
      </c>
      <c r="C305" t="s">
        <v>218</v>
      </c>
      <c r="D305" t="s">
        <v>229</v>
      </c>
      <c r="E305" t="s">
        <v>31</v>
      </c>
      <c r="F305" t="s">
        <v>7</v>
      </c>
      <c r="G305">
        <v>-12700</v>
      </c>
      <c r="H305" t="s">
        <v>220</v>
      </c>
      <c r="I305" t="s">
        <v>56</v>
      </c>
    </row>
    <row r="306" spans="1:9" x14ac:dyDescent="0.3">
      <c r="A306" s="41">
        <v>46039</v>
      </c>
      <c r="B306" s="42">
        <v>0.79170138888888886</v>
      </c>
      <c r="C306" t="s">
        <v>218</v>
      </c>
      <c r="D306" t="s">
        <v>229</v>
      </c>
      <c r="E306" t="s">
        <v>31</v>
      </c>
      <c r="F306" t="s">
        <v>7</v>
      </c>
      <c r="G306">
        <v>-2000000</v>
      </c>
      <c r="H306" t="s">
        <v>220</v>
      </c>
      <c r="I306" t="s">
        <v>57</v>
      </c>
    </row>
    <row r="307" spans="1:9" x14ac:dyDescent="0.3">
      <c r="A307" s="41">
        <v>46039</v>
      </c>
      <c r="B307" s="42">
        <v>0.79168981481481482</v>
      </c>
      <c r="C307" t="s">
        <v>218</v>
      </c>
      <c r="D307" t="s">
        <v>229</v>
      </c>
      <c r="E307" t="s">
        <v>31</v>
      </c>
      <c r="F307" t="s">
        <v>7</v>
      </c>
      <c r="G307">
        <v>-500000</v>
      </c>
      <c r="H307" t="s">
        <v>220</v>
      </c>
      <c r="I307" t="s">
        <v>57</v>
      </c>
    </row>
    <row r="308" spans="1:9" x14ac:dyDescent="0.3">
      <c r="A308" s="41">
        <v>46039</v>
      </c>
      <c r="B308" s="42">
        <v>0.68834490740740739</v>
      </c>
      <c r="C308" t="s">
        <v>218</v>
      </c>
      <c r="D308" t="s">
        <v>218</v>
      </c>
      <c r="E308" t="s">
        <v>31</v>
      </c>
      <c r="F308" t="s">
        <v>339</v>
      </c>
      <c r="G308">
        <v>12700</v>
      </c>
      <c r="H308" t="s">
        <v>220</v>
      </c>
      <c r="I308" t="s">
        <v>56</v>
      </c>
    </row>
    <row r="309" spans="1:9" x14ac:dyDescent="0.3">
      <c r="A309" s="41">
        <v>46039</v>
      </c>
      <c r="B309" s="42">
        <v>8.2118055555555555E-2</v>
      </c>
      <c r="C309" t="s">
        <v>218</v>
      </c>
      <c r="D309" t="s">
        <v>218</v>
      </c>
      <c r="E309" t="s">
        <v>31</v>
      </c>
      <c r="F309" t="s">
        <v>260</v>
      </c>
      <c r="G309">
        <v>13</v>
      </c>
      <c r="H309" t="s">
        <v>220</v>
      </c>
      <c r="I309" t="s">
        <v>60</v>
      </c>
    </row>
    <row r="310" spans="1:9" x14ac:dyDescent="0.3">
      <c r="A310" s="41">
        <v>46038</v>
      </c>
      <c r="B310" s="42">
        <v>0.56795138888888885</v>
      </c>
      <c r="C310" t="s">
        <v>221</v>
      </c>
      <c r="D310" t="s">
        <v>42</v>
      </c>
      <c r="E310" t="s">
        <v>223</v>
      </c>
      <c r="F310" t="s">
        <v>258</v>
      </c>
      <c r="G310">
        <v>-1000</v>
      </c>
      <c r="H310" t="s">
        <v>220</v>
      </c>
      <c r="I310" t="s">
        <v>225</v>
      </c>
    </row>
    <row r="311" spans="1:9" x14ac:dyDescent="0.3">
      <c r="A311" s="41">
        <v>46038</v>
      </c>
      <c r="B311" s="42">
        <v>0.40837962962962959</v>
      </c>
      <c r="C311" t="s">
        <v>233</v>
      </c>
      <c r="D311" t="s">
        <v>29</v>
      </c>
      <c r="E311" t="s">
        <v>31</v>
      </c>
      <c r="F311" t="s">
        <v>343</v>
      </c>
      <c r="G311">
        <v>3963560</v>
      </c>
      <c r="H311" t="s">
        <v>220</v>
      </c>
      <c r="I311" t="s">
        <v>57</v>
      </c>
    </row>
    <row r="312" spans="1:9" x14ac:dyDescent="0.3">
      <c r="A312" s="41">
        <v>46037</v>
      </c>
      <c r="B312" s="42">
        <v>0.61384259259259255</v>
      </c>
      <c r="C312" t="s">
        <v>221</v>
      </c>
      <c r="D312" t="s">
        <v>39</v>
      </c>
      <c r="E312" t="s">
        <v>245</v>
      </c>
      <c r="F312" t="s">
        <v>324</v>
      </c>
      <c r="G312">
        <v>0</v>
      </c>
      <c r="H312" t="s">
        <v>220</v>
      </c>
      <c r="I312" t="s">
        <v>268</v>
      </c>
    </row>
    <row r="313" spans="1:9" x14ac:dyDescent="0.3">
      <c r="A313" s="41">
        <v>46037</v>
      </c>
      <c r="B313" s="42">
        <v>0.58091435185185181</v>
      </c>
      <c r="C313" t="s">
        <v>218</v>
      </c>
      <c r="D313" t="s">
        <v>229</v>
      </c>
      <c r="E313" t="s">
        <v>31</v>
      </c>
      <c r="F313" t="s">
        <v>7</v>
      </c>
      <c r="G313">
        <v>-10000</v>
      </c>
      <c r="H313" t="s">
        <v>220</v>
      </c>
      <c r="I313" t="s">
        <v>57</v>
      </c>
    </row>
    <row r="314" spans="1:9" x14ac:dyDescent="0.3">
      <c r="A314" s="41">
        <v>46037</v>
      </c>
      <c r="B314" s="42">
        <v>0.57473379629629628</v>
      </c>
      <c r="C314" t="s">
        <v>218</v>
      </c>
      <c r="D314" t="s">
        <v>229</v>
      </c>
      <c r="E314" t="s">
        <v>31</v>
      </c>
      <c r="F314" t="s">
        <v>7</v>
      </c>
      <c r="G314">
        <v>-440000</v>
      </c>
      <c r="H314" t="s">
        <v>220</v>
      </c>
      <c r="I314" t="s">
        <v>57</v>
      </c>
    </row>
    <row r="315" spans="1:9" x14ac:dyDescent="0.3">
      <c r="A315" s="41">
        <v>46037</v>
      </c>
      <c r="B315" s="42">
        <v>0.57392361111111112</v>
      </c>
      <c r="C315" t="s">
        <v>218</v>
      </c>
      <c r="D315" t="s">
        <v>31</v>
      </c>
      <c r="E315" t="s">
        <v>31</v>
      </c>
      <c r="F315" t="s">
        <v>230</v>
      </c>
      <c r="G315">
        <v>440000</v>
      </c>
      <c r="H315" t="s">
        <v>220</v>
      </c>
      <c r="I315" t="s">
        <v>57</v>
      </c>
    </row>
    <row r="316" spans="1:9" x14ac:dyDescent="0.3">
      <c r="A316" s="41">
        <v>46037</v>
      </c>
      <c r="B316" s="42">
        <v>0.55462962962962958</v>
      </c>
      <c r="C316" t="s">
        <v>218</v>
      </c>
      <c r="D316" t="s">
        <v>229</v>
      </c>
      <c r="E316" t="s">
        <v>31</v>
      </c>
      <c r="F316" t="s">
        <v>7</v>
      </c>
      <c r="G316">
        <v>-200000</v>
      </c>
      <c r="H316" t="s">
        <v>220</v>
      </c>
      <c r="I316" t="s">
        <v>57</v>
      </c>
    </row>
    <row r="317" spans="1:9" x14ac:dyDescent="0.3">
      <c r="A317" s="41">
        <v>46034</v>
      </c>
      <c r="B317" s="42">
        <v>0.61319444444444449</v>
      </c>
      <c r="C317" t="s">
        <v>218</v>
      </c>
      <c r="D317" t="s">
        <v>229</v>
      </c>
      <c r="E317" t="s">
        <v>31</v>
      </c>
      <c r="F317" t="s">
        <v>7</v>
      </c>
      <c r="G317">
        <v>-60000</v>
      </c>
      <c r="H317" t="s">
        <v>220</v>
      </c>
      <c r="I317" t="s">
        <v>57</v>
      </c>
    </row>
    <row r="318" spans="1:9" x14ac:dyDescent="0.3">
      <c r="A318" s="41">
        <v>46034</v>
      </c>
      <c r="B318" s="42">
        <v>0.45603009259259258</v>
      </c>
      <c r="C318" t="s">
        <v>221</v>
      </c>
      <c r="D318" t="s">
        <v>42</v>
      </c>
      <c r="E318" t="s">
        <v>222</v>
      </c>
      <c r="F318" t="s">
        <v>337</v>
      </c>
      <c r="G318">
        <v>-49246</v>
      </c>
      <c r="H318" t="s">
        <v>220</v>
      </c>
      <c r="I318" t="s">
        <v>242</v>
      </c>
    </row>
    <row r="319" spans="1:9" x14ac:dyDescent="0.3">
      <c r="A319" s="41">
        <v>46034</v>
      </c>
      <c r="B319" s="42">
        <v>0.44081018518518522</v>
      </c>
      <c r="C319" t="s">
        <v>218</v>
      </c>
      <c r="D319" t="s">
        <v>229</v>
      </c>
      <c r="E319" t="s">
        <v>31</v>
      </c>
      <c r="F319" t="s">
        <v>7</v>
      </c>
      <c r="G319">
        <v>-50000</v>
      </c>
      <c r="H319" t="s">
        <v>220</v>
      </c>
      <c r="I319" t="s">
        <v>57</v>
      </c>
    </row>
    <row r="320" spans="1:9" x14ac:dyDescent="0.3">
      <c r="A320" s="41">
        <v>46032</v>
      </c>
      <c r="B320" s="42">
        <v>0.52914351851851849</v>
      </c>
      <c r="C320" t="s">
        <v>218</v>
      </c>
      <c r="D320" t="s">
        <v>229</v>
      </c>
      <c r="E320" t="s">
        <v>31</v>
      </c>
      <c r="F320" t="s">
        <v>7</v>
      </c>
      <c r="G320">
        <v>-10000</v>
      </c>
      <c r="H320" t="s">
        <v>220</v>
      </c>
      <c r="I320" t="s">
        <v>57</v>
      </c>
    </row>
    <row r="321" spans="1:9" x14ac:dyDescent="0.3">
      <c r="A321" s="41">
        <v>46032</v>
      </c>
      <c r="B321" s="42">
        <v>0.5267708333333333</v>
      </c>
      <c r="C321" t="s">
        <v>218</v>
      </c>
      <c r="D321" t="s">
        <v>229</v>
      </c>
      <c r="E321" t="s">
        <v>31</v>
      </c>
      <c r="F321" t="s">
        <v>7</v>
      </c>
      <c r="G321">
        <v>-30000</v>
      </c>
      <c r="H321" t="s">
        <v>220</v>
      </c>
      <c r="I321" t="s">
        <v>57</v>
      </c>
    </row>
    <row r="322" spans="1:9" x14ac:dyDescent="0.3">
      <c r="A322" s="41">
        <v>46031</v>
      </c>
      <c r="B322" s="42">
        <v>0.40818287037037038</v>
      </c>
      <c r="C322" t="s">
        <v>218</v>
      </c>
      <c r="D322" t="s">
        <v>218</v>
      </c>
      <c r="E322" t="s">
        <v>31</v>
      </c>
      <c r="F322" t="s">
        <v>339</v>
      </c>
      <c r="G322">
        <v>69534</v>
      </c>
      <c r="H322" t="s">
        <v>220</v>
      </c>
      <c r="I322" t="s">
        <v>57</v>
      </c>
    </row>
    <row r="323" spans="1:9" x14ac:dyDescent="0.3">
      <c r="A323" s="41">
        <v>46030</v>
      </c>
      <c r="B323" s="42">
        <v>0.55460648148148151</v>
      </c>
      <c r="C323" t="s">
        <v>221</v>
      </c>
      <c r="D323" t="s">
        <v>36</v>
      </c>
      <c r="E323" t="s">
        <v>344</v>
      </c>
      <c r="F323" t="s">
        <v>345</v>
      </c>
      <c r="G323">
        <v>-57273</v>
      </c>
      <c r="H323" t="s">
        <v>220</v>
      </c>
      <c r="I323" t="s">
        <v>225</v>
      </c>
    </row>
    <row r="324" spans="1:9" x14ac:dyDescent="0.3">
      <c r="A324" s="41">
        <v>46030</v>
      </c>
      <c r="B324" s="42">
        <v>0.55460648148148151</v>
      </c>
      <c r="C324" t="s">
        <v>221</v>
      </c>
      <c r="D324" t="s">
        <v>36</v>
      </c>
      <c r="E324" t="s">
        <v>344</v>
      </c>
      <c r="F324" t="s">
        <v>345</v>
      </c>
      <c r="G324">
        <v>-73227</v>
      </c>
      <c r="H324" t="s">
        <v>220</v>
      </c>
      <c r="I324" t="s">
        <v>289</v>
      </c>
    </row>
    <row r="325" spans="1:9" x14ac:dyDescent="0.3">
      <c r="A325" s="41">
        <v>46030</v>
      </c>
      <c r="B325" s="42">
        <v>0.51317129629629632</v>
      </c>
      <c r="C325" t="s">
        <v>221</v>
      </c>
      <c r="D325" t="s">
        <v>36</v>
      </c>
      <c r="E325" t="s">
        <v>281</v>
      </c>
      <c r="F325" t="s">
        <v>283</v>
      </c>
      <c r="G325">
        <v>2679</v>
      </c>
      <c r="H325" t="s">
        <v>220</v>
      </c>
      <c r="I325" t="s">
        <v>346</v>
      </c>
    </row>
    <row r="326" spans="1:9" x14ac:dyDescent="0.3">
      <c r="A326" s="41">
        <v>46030</v>
      </c>
      <c r="B326" s="42">
        <v>0.51236111111111116</v>
      </c>
      <c r="C326" t="s">
        <v>221</v>
      </c>
      <c r="D326" t="s">
        <v>42</v>
      </c>
      <c r="E326" t="s">
        <v>222</v>
      </c>
      <c r="F326" t="s">
        <v>297</v>
      </c>
      <c r="G326">
        <v>2980</v>
      </c>
      <c r="H326" t="s">
        <v>220</v>
      </c>
      <c r="I326" t="s">
        <v>228</v>
      </c>
    </row>
    <row r="327" spans="1:9" x14ac:dyDescent="0.3">
      <c r="A327" s="41">
        <v>46030</v>
      </c>
      <c r="B327" s="42">
        <v>0.51236111111111116</v>
      </c>
      <c r="C327" t="s">
        <v>221</v>
      </c>
      <c r="D327" t="s">
        <v>36</v>
      </c>
      <c r="E327" t="s">
        <v>281</v>
      </c>
      <c r="F327" t="s">
        <v>283</v>
      </c>
      <c r="G327">
        <v>-2679</v>
      </c>
      <c r="H327" t="s">
        <v>220</v>
      </c>
      <c r="I327" t="s">
        <v>346</v>
      </c>
    </row>
    <row r="328" spans="1:9" x14ac:dyDescent="0.3">
      <c r="A328" s="41">
        <v>46029</v>
      </c>
      <c r="B328" s="42">
        <v>0.8137268518518519</v>
      </c>
      <c r="C328" t="s">
        <v>218</v>
      </c>
      <c r="D328" t="s">
        <v>229</v>
      </c>
      <c r="E328" t="s">
        <v>31</v>
      </c>
      <c r="F328" t="s">
        <v>7</v>
      </c>
      <c r="G328">
        <v>-130000</v>
      </c>
      <c r="H328" t="s">
        <v>220</v>
      </c>
      <c r="I328" t="s">
        <v>57</v>
      </c>
    </row>
    <row r="329" spans="1:9" x14ac:dyDescent="0.3">
      <c r="A329" s="41">
        <v>46029</v>
      </c>
      <c r="B329" s="42">
        <v>0.68982638888888892</v>
      </c>
      <c r="C329" t="s">
        <v>221</v>
      </c>
      <c r="D329" t="s">
        <v>39</v>
      </c>
      <c r="E329" t="s">
        <v>245</v>
      </c>
      <c r="F329" t="s">
        <v>267</v>
      </c>
      <c r="G329">
        <v>0</v>
      </c>
      <c r="H329" t="s">
        <v>220</v>
      </c>
      <c r="I329" t="s">
        <v>268</v>
      </c>
    </row>
    <row r="330" spans="1:9" x14ac:dyDescent="0.3">
      <c r="A330" s="41">
        <v>46029</v>
      </c>
      <c r="B330" s="42">
        <v>0.67268518518518516</v>
      </c>
      <c r="C330" t="s">
        <v>218</v>
      </c>
      <c r="D330" t="s">
        <v>31</v>
      </c>
      <c r="E330" t="s">
        <v>31</v>
      </c>
      <c r="F330" t="s">
        <v>230</v>
      </c>
      <c r="G330">
        <v>200000</v>
      </c>
      <c r="H330" t="s">
        <v>220</v>
      </c>
      <c r="I330" t="s">
        <v>57</v>
      </c>
    </row>
    <row r="331" spans="1:9" x14ac:dyDescent="0.3">
      <c r="A331" s="41">
        <v>46028</v>
      </c>
      <c r="B331" s="42">
        <v>0.51001157407407405</v>
      </c>
      <c r="C331" t="s">
        <v>218</v>
      </c>
      <c r="D331" t="s">
        <v>229</v>
      </c>
      <c r="E331" t="s">
        <v>31</v>
      </c>
      <c r="F331" t="s">
        <v>7</v>
      </c>
      <c r="G331">
        <v>-40000</v>
      </c>
      <c r="H331" t="s">
        <v>220</v>
      </c>
      <c r="I331" t="s">
        <v>63</v>
      </c>
    </row>
    <row r="332" spans="1:9" x14ac:dyDescent="0.3">
      <c r="A332" s="41">
        <v>46024</v>
      </c>
      <c r="B332" s="42">
        <v>0.33541666666666659</v>
      </c>
      <c r="C332" t="s">
        <v>218</v>
      </c>
      <c r="D332" t="s">
        <v>229</v>
      </c>
      <c r="E332" t="s">
        <v>31</v>
      </c>
      <c r="F332" t="s">
        <v>231</v>
      </c>
      <c r="G332">
        <v>100000</v>
      </c>
      <c r="H332" t="s">
        <v>220</v>
      </c>
      <c r="I332" t="s">
        <v>78</v>
      </c>
    </row>
    <row r="333" spans="1:9" x14ac:dyDescent="0.3">
      <c r="A333" s="41">
        <v>46024</v>
      </c>
      <c r="B333" s="42">
        <v>0.33541666666666659</v>
      </c>
      <c r="C333" t="s">
        <v>218</v>
      </c>
      <c r="D333" t="s">
        <v>229</v>
      </c>
      <c r="E333" t="s">
        <v>31</v>
      </c>
      <c r="F333" t="s">
        <v>232</v>
      </c>
      <c r="G333">
        <v>-100000</v>
      </c>
      <c r="H333" t="s">
        <v>220</v>
      </c>
      <c r="I333" t="s">
        <v>60</v>
      </c>
    </row>
    <row r="334" spans="1:9" x14ac:dyDescent="0.3">
      <c r="A334" s="41">
        <v>46023</v>
      </c>
      <c r="B334" s="42">
        <v>0.27890046296296289</v>
      </c>
      <c r="C334" t="s">
        <v>233</v>
      </c>
      <c r="D334" t="s">
        <v>28</v>
      </c>
      <c r="E334" t="s">
        <v>31</v>
      </c>
      <c r="F334" t="s">
        <v>234</v>
      </c>
      <c r="G334">
        <v>90</v>
      </c>
      <c r="H334" t="s">
        <v>220</v>
      </c>
      <c r="I334" t="s">
        <v>63</v>
      </c>
    </row>
    <row r="335" spans="1:9" x14ac:dyDescent="0.3">
      <c r="A335" s="41">
        <v>46023</v>
      </c>
      <c r="B335" s="42">
        <v>0.14586805555555549</v>
      </c>
      <c r="C335" t="s">
        <v>233</v>
      </c>
      <c r="D335" t="s">
        <v>28</v>
      </c>
      <c r="E335" t="s">
        <v>31</v>
      </c>
      <c r="F335" t="s">
        <v>235</v>
      </c>
      <c r="G335">
        <v>10</v>
      </c>
      <c r="H335" t="s">
        <v>220</v>
      </c>
      <c r="I335" t="s">
        <v>70</v>
      </c>
    </row>
    <row r="336" spans="1:9" x14ac:dyDescent="0.3">
      <c r="A336" s="41">
        <v>46023</v>
      </c>
      <c r="B336" s="42">
        <v>0.1200347222222222</v>
      </c>
      <c r="C336" t="s">
        <v>233</v>
      </c>
      <c r="D336" t="s">
        <v>28</v>
      </c>
      <c r="E336" t="s">
        <v>31</v>
      </c>
      <c r="F336" t="s">
        <v>236</v>
      </c>
      <c r="G336">
        <v>0</v>
      </c>
      <c r="H336" t="s">
        <v>220</v>
      </c>
      <c r="I336" t="s">
        <v>64</v>
      </c>
    </row>
    <row r="337" spans="1:9" x14ac:dyDescent="0.3">
      <c r="A337" s="41">
        <v>46022</v>
      </c>
      <c r="B337" s="42">
        <v>0.75914351851851847</v>
      </c>
      <c r="C337" t="s">
        <v>218</v>
      </c>
      <c r="D337" t="s">
        <v>229</v>
      </c>
      <c r="E337" t="s">
        <v>31</v>
      </c>
      <c r="F337" t="s">
        <v>237</v>
      </c>
      <c r="G337">
        <v>100000</v>
      </c>
      <c r="H337" t="s">
        <v>220</v>
      </c>
      <c r="I337" t="s">
        <v>60</v>
      </c>
    </row>
    <row r="338" spans="1:9" x14ac:dyDescent="0.3">
      <c r="A338" s="41">
        <v>46022</v>
      </c>
      <c r="B338" s="42">
        <v>0.75914351851851847</v>
      </c>
      <c r="C338" t="s">
        <v>218</v>
      </c>
      <c r="D338" t="s">
        <v>229</v>
      </c>
      <c r="E338" t="s">
        <v>31</v>
      </c>
      <c r="F338" t="s">
        <v>7</v>
      </c>
      <c r="G338">
        <v>-100000</v>
      </c>
      <c r="H338" t="s">
        <v>220</v>
      </c>
      <c r="I338" t="s">
        <v>57</v>
      </c>
    </row>
    <row r="339" spans="1:9" x14ac:dyDescent="0.3">
      <c r="A339" s="41">
        <v>46022</v>
      </c>
      <c r="B339" s="42">
        <v>0.70501157407407411</v>
      </c>
      <c r="C339" t="s">
        <v>218</v>
      </c>
      <c r="D339" t="s">
        <v>31</v>
      </c>
      <c r="E339" t="s">
        <v>31</v>
      </c>
      <c r="F339" t="s">
        <v>230</v>
      </c>
      <c r="G339">
        <v>250000</v>
      </c>
      <c r="H339" t="s">
        <v>220</v>
      </c>
      <c r="I339" t="s">
        <v>57</v>
      </c>
    </row>
    <row r="340" spans="1:9" x14ac:dyDescent="0.3">
      <c r="A340" s="41">
        <v>46021</v>
      </c>
      <c r="B340" s="42">
        <v>0.69349537037037035</v>
      </c>
      <c r="C340" t="s">
        <v>218</v>
      </c>
      <c r="D340" t="s">
        <v>328</v>
      </c>
      <c r="E340" t="s">
        <v>31</v>
      </c>
      <c r="F340" t="s">
        <v>329</v>
      </c>
      <c r="G340">
        <v>17475</v>
      </c>
      <c r="H340" t="s">
        <v>220</v>
      </c>
      <c r="I340" t="s">
        <v>57</v>
      </c>
    </row>
    <row r="341" spans="1:9" x14ac:dyDescent="0.3">
      <c r="A341" s="41">
        <v>46020</v>
      </c>
      <c r="B341" s="42">
        <v>0.44078703703703698</v>
      </c>
      <c r="C341" t="s">
        <v>218</v>
      </c>
      <c r="D341" t="s">
        <v>229</v>
      </c>
      <c r="E341" t="s">
        <v>31</v>
      </c>
      <c r="F341" t="s">
        <v>7</v>
      </c>
      <c r="G341">
        <v>200000</v>
      </c>
      <c r="H341" t="s">
        <v>220</v>
      </c>
      <c r="I341" t="s">
        <v>57</v>
      </c>
    </row>
    <row r="342" spans="1:9" x14ac:dyDescent="0.3">
      <c r="A342" s="41">
        <v>46020</v>
      </c>
      <c r="B342" s="42">
        <v>0.39991898148148147</v>
      </c>
      <c r="C342" t="s">
        <v>218</v>
      </c>
      <c r="D342" t="s">
        <v>229</v>
      </c>
      <c r="E342" t="s">
        <v>31</v>
      </c>
      <c r="F342" t="s">
        <v>7</v>
      </c>
      <c r="G342">
        <v>-180000</v>
      </c>
      <c r="H342" t="s">
        <v>220</v>
      </c>
      <c r="I342" t="s">
        <v>70</v>
      </c>
    </row>
    <row r="343" spans="1:9" x14ac:dyDescent="0.3">
      <c r="A343" s="41">
        <v>46020</v>
      </c>
      <c r="B343" s="42">
        <v>0.39881944444444439</v>
      </c>
      <c r="C343" t="s">
        <v>218</v>
      </c>
      <c r="D343" t="s">
        <v>218</v>
      </c>
      <c r="E343" t="s">
        <v>31</v>
      </c>
      <c r="F343" t="s">
        <v>347</v>
      </c>
      <c r="G343">
        <v>170000</v>
      </c>
      <c r="H343" t="s">
        <v>220</v>
      </c>
      <c r="I343" t="s">
        <v>70</v>
      </c>
    </row>
    <row r="344" spans="1:9" x14ac:dyDescent="0.3">
      <c r="A344" s="41">
        <v>46020</v>
      </c>
      <c r="B344" s="42">
        <v>0.39534722222222218</v>
      </c>
      <c r="C344" t="s">
        <v>218</v>
      </c>
      <c r="D344" t="s">
        <v>229</v>
      </c>
      <c r="E344" t="s">
        <v>31</v>
      </c>
      <c r="F344" t="s">
        <v>7</v>
      </c>
      <c r="G344">
        <v>-298000</v>
      </c>
      <c r="H344" t="s">
        <v>220</v>
      </c>
      <c r="I344" t="s">
        <v>57</v>
      </c>
    </row>
    <row r="345" spans="1:9" x14ac:dyDescent="0.3">
      <c r="A345" s="41">
        <v>46019</v>
      </c>
      <c r="B345" s="42">
        <v>0.53567129629629628</v>
      </c>
      <c r="C345" t="s">
        <v>218</v>
      </c>
      <c r="D345" t="s">
        <v>31</v>
      </c>
      <c r="E345" t="s">
        <v>31</v>
      </c>
      <c r="F345" t="s">
        <v>230</v>
      </c>
      <c r="G345">
        <v>10</v>
      </c>
      <c r="H345" t="s">
        <v>220</v>
      </c>
      <c r="I345" t="s">
        <v>58</v>
      </c>
    </row>
    <row r="346" spans="1:9" x14ac:dyDescent="0.3">
      <c r="A346" s="41">
        <v>46018</v>
      </c>
      <c r="B346" s="42">
        <v>0.60537037037037034</v>
      </c>
      <c r="C346" t="s">
        <v>218</v>
      </c>
      <c r="D346" t="s">
        <v>74</v>
      </c>
      <c r="E346" t="s">
        <v>31</v>
      </c>
      <c r="F346" t="s">
        <v>348</v>
      </c>
      <c r="G346">
        <v>5000</v>
      </c>
      <c r="H346" t="s">
        <v>220</v>
      </c>
      <c r="I346" t="s">
        <v>63</v>
      </c>
    </row>
    <row r="347" spans="1:9" x14ac:dyDescent="0.3">
      <c r="A347" s="41">
        <v>46018</v>
      </c>
      <c r="B347" s="42">
        <v>0.60265046296296299</v>
      </c>
      <c r="C347" t="s">
        <v>218</v>
      </c>
      <c r="D347" t="s">
        <v>218</v>
      </c>
      <c r="E347" t="s">
        <v>31</v>
      </c>
      <c r="F347" t="s">
        <v>349</v>
      </c>
      <c r="G347">
        <v>-5000</v>
      </c>
      <c r="H347" t="s">
        <v>220</v>
      </c>
      <c r="I347" t="s">
        <v>63</v>
      </c>
    </row>
    <row r="348" spans="1:9" x14ac:dyDescent="0.3">
      <c r="A348" s="41">
        <v>46018</v>
      </c>
      <c r="B348" s="42">
        <v>0.5960185185185185</v>
      </c>
      <c r="C348" t="s">
        <v>218</v>
      </c>
      <c r="D348" t="s">
        <v>218</v>
      </c>
      <c r="E348" t="s">
        <v>31</v>
      </c>
      <c r="F348" t="s">
        <v>350</v>
      </c>
      <c r="G348">
        <v>1</v>
      </c>
      <c r="H348" t="s">
        <v>220</v>
      </c>
      <c r="I348" t="s">
        <v>57</v>
      </c>
    </row>
    <row r="349" spans="1:9" x14ac:dyDescent="0.3">
      <c r="A349" s="41">
        <v>46018</v>
      </c>
      <c r="B349" s="42">
        <v>0.18861111111111109</v>
      </c>
      <c r="C349" t="s">
        <v>233</v>
      </c>
      <c r="D349" t="s">
        <v>28</v>
      </c>
      <c r="E349" t="s">
        <v>31</v>
      </c>
      <c r="F349" t="s">
        <v>234</v>
      </c>
      <c r="G349">
        <v>0</v>
      </c>
      <c r="H349" t="s">
        <v>220</v>
      </c>
      <c r="I349" t="s">
        <v>66</v>
      </c>
    </row>
    <row r="350" spans="1:9" x14ac:dyDescent="0.3">
      <c r="A350" s="41">
        <v>46018</v>
      </c>
      <c r="B350" s="42">
        <v>0.1413541666666667</v>
      </c>
      <c r="C350" t="s">
        <v>233</v>
      </c>
      <c r="D350" t="s">
        <v>28</v>
      </c>
      <c r="E350" t="s">
        <v>31</v>
      </c>
      <c r="F350" t="s">
        <v>248</v>
      </c>
      <c r="G350">
        <v>2</v>
      </c>
      <c r="H350" t="s">
        <v>220</v>
      </c>
      <c r="I350" t="s">
        <v>67</v>
      </c>
    </row>
    <row r="351" spans="1:9" x14ac:dyDescent="0.3">
      <c r="A351" s="41">
        <v>46018</v>
      </c>
      <c r="B351" s="42">
        <v>0.1262962962962963</v>
      </c>
      <c r="C351" t="s">
        <v>218</v>
      </c>
      <c r="D351" t="s">
        <v>238</v>
      </c>
      <c r="E351" t="s">
        <v>31</v>
      </c>
      <c r="F351" t="s">
        <v>249</v>
      </c>
      <c r="G351">
        <v>0</v>
      </c>
      <c r="H351" t="s">
        <v>220</v>
      </c>
      <c r="I351" t="s">
        <v>65</v>
      </c>
    </row>
    <row r="352" spans="1:9" x14ac:dyDescent="0.3">
      <c r="A352" s="41">
        <v>46018</v>
      </c>
      <c r="B352" s="42">
        <v>7.8958333333333339E-2</v>
      </c>
      <c r="C352" t="s">
        <v>233</v>
      </c>
      <c r="D352" t="s">
        <v>28</v>
      </c>
      <c r="E352" t="s">
        <v>31</v>
      </c>
      <c r="F352" t="s">
        <v>250</v>
      </c>
      <c r="G352">
        <v>0</v>
      </c>
      <c r="H352" t="s">
        <v>220</v>
      </c>
      <c r="I352" t="s">
        <v>71</v>
      </c>
    </row>
    <row r="353" spans="1:9" x14ac:dyDescent="0.3">
      <c r="A353" s="41">
        <v>46016</v>
      </c>
      <c r="B353" s="42">
        <v>0.65486111111111112</v>
      </c>
      <c r="C353" t="s">
        <v>218</v>
      </c>
      <c r="D353" t="s">
        <v>31</v>
      </c>
      <c r="E353" t="s">
        <v>31</v>
      </c>
      <c r="F353" t="s">
        <v>230</v>
      </c>
      <c r="G353">
        <v>150000</v>
      </c>
      <c r="H353" t="s">
        <v>220</v>
      </c>
      <c r="I353" t="s">
        <v>57</v>
      </c>
    </row>
    <row r="354" spans="1:9" x14ac:dyDescent="0.3">
      <c r="A354" s="41">
        <v>46016</v>
      </c>
      <c r="B354" s="42">
        <v>0.63402777777777775</v>
      </c>
      <c r="C354" t="s">
        <v>218</v>
      </c>
      <c r="D354" t="s">
        <v>229</v>
      </c>
      <c r="E354" t="s">
        <v>31</v>
      </c>
      <c r="F354" t="s">
        <v>351</v>
      </c>
      <c r="G354">
        <v>200000</v>
      </c>
      <c r="H354" t="s">
        <v>220</v>
      </c>
      <c r="I354" t="s">
        <v>77</v>
      </c>
    </row>
    <row r="355" spans="1:9" x14ac:dyDescent="0.3">
      <c r="A355" s="41">
        <v>46016</v>
      </c>
      <c r="B355" s="42">
        <v>0.63401620370370371</v>
      </c>
      <c r="C355" t="s">
        <v>218</v>
      </c>
      <c r="D355" t="s">
        <v>229</v>
      </c>
      <c r="E355" t="s">
        <v>31</v>
      </c>
      <c r="F355" t="s">
        <v>352</v>
      </c>
      <c r="G355">
        <v>-200000</v>
      </c>
      <c r="H355" t="s">
        <v>220</v>
      </c>
      <c r="I355" t="s">
        <v>60</v>
      </c>
    </row>
    <row r="356" spans="1:9" x14ac:dyDescent="0.3">
      <c r="A356" s="41">
        <v>46016</v>
      </c>
      <c r="B356" s="42">
        <v>0.63163194444444448</v>
      </c>
      <c r="C356" t="s">
        <v>218</v>
      </c>
      <c r="D356" t="s">
        <v>328</v>
      </c>
      <c r="E356" t="s">
        <v>31</v>
      </c>
      <c r="F356" t="s">
        <v>353</v>
      </c>
      <c r="G356">
        <v>200000</v>
      </c>
      <c r="H356" t="s">
        <v>220</v>
      </c>
      <c r="I356" t="s">
        <v>60</v>
      </c>
    </row>
    <row r="357" spans="1:9" x14ac:dyDescent="0.3">
      <c r="A357" s="41">
        <v>46016</v>
      </c>
      <c r="B357" s="42">
        <v>0.6290162037037037</v>
      </c>
      <c r="C357" t="s">
        <v>218</v>
      </c>
      <c r="D357" t="s">
        <v>229</v>
      </c>
      <c r="E357" t="s">
        <v>31</v>
      </c>
      <c r="F357" t="s">
        <v>351</v>
      </c>
      <c r="G357">
        <v>100000</v>
      </c>
      <c r="H357" t="s">
        <v>220</v>
      </c>
      <c r="I357" t="s">
        <v>78</v>
      </c>
    </row>
    <row r="358" spans="1:9" x14ac:dyDescent="0.3">
      <c r="A358" s="41">
        <v>46016</v>
      </c>
      <c r="B358" s="42">
        <v>0.6290162037037037</v>
      </c>
      <c r="C358" t="s">
        <v>218</v>
      </c>
      <c r="D358" t="s">
        <v>229</v>
      </c>
      <c r="E358" t="s">
        <v>31</v>
      </c>
      <c r="F358" t="s">
        <v>352</v>
      </c>
      <c r="G358">
        <v>-100000</v>
      </c>
      <c r="H358" t="s">
        <v>220</v>
      </c>
      <c r="I358" t="s">
        <v>60</v>
      </c>
    </row>
    <row r="359" spans="1:9" x14ac:dyDescent="0.3">
      <c r="A359" s="41">
        <v>46016</v>
      </c>
      <c r="B359" s="42">
        <v>0.62445601851851851</v>
      </c>
      <c r="C359" t="s">
        <v>218</v>
      </c>
      <c r="D359" t="s">
        <v>229</v>
      </c>
      <c r="E359" t="s">
        <v>31</v>
      </c>
      <c r="F359" t="s">
        <v>7</v>
      </c>
      <c r="G359">
        <v>-100000</v>
      </c>
      <c r="H359" t="s">
        <v>220</v>
      </c>
      <c r="I359" t="s">
        <v>57</v>
      </c>
    </row>
    <row r="360" spans="1:9" x14ac:dyDescent="0.3">
      <c r="A360" s="41">
        <v>46016</v>
      </c>
      <c r="B360" s="42">
        <v>0.62445601851851851</v>
      </c>
      <c r="C360" t="s">
        <v>218</v>
      </c>
      <c r="D360" t="s">
        <v>229</v>
      </c>
      <c r="E360" t="s">
        <v>31</v>
      </c>
      <c r="F360" t="s">
        <v>237</v>
      </c>
      <c r="G360">
        <v>100000</v>
      </c>
      <c r="H360" t="s">
        <v>220</v>
      </c>
      <c r="I360" t="s">
        <v>60</v>
      </c>
    </row>
    <row r="361" spans="1:9" x14ac:dyDescent="0.3">
      <c r="A361" s="41">
        <v>46016</v>
      </c>
      <c r="B361" s="42">
        <v>0.61968749999999995</v>
      </c>
      <c r="C361" t="s">
        <v>221</v>
      </c>
      <c r="D361" t="s">
        <v>36</v>
      </c>
      <c r="E361" t="s">
        <v>354</v>
      </c>
      <c r="F361" t="s">
        <v>352</v>
      </c>
      <c r="G361">
        <v>-200000</v>
      </c>
      <c r="H361" t="s">
        <v>220</v>
      </c>
      <c r="I361" t="s">
        <v>60</v>
      </c>
    </row>
    <row r="362" spans="1:9" x14ac:dyDescent="0.3">
      <c r="A362" s="41">
        <v>46016</v>
      </c>
      <c r="B362" s="42">
        <v>0.61916666666666664</v>
      </c>
      <c r="C362" t="s">
        <v>218</v>
      </c>
      <c r="D362" t="s">
        <v>229</v>
      </c>
      <c r="E362" t="s">
        <v>31</v>
      </c>
      <c r="F362" t="s">
        <v>7</v>
      </c>
      <c r="G362">
        <v>-200000</v>
      </c>
      <c r="H362" t="s">
        <v>220</v>
      </c>
      <c r="I362" t="s">
        <v>57</v>
      </c>
    </row>
    <row r="363" spans="1:9" x14ac:dyDescent="0.3">
      <c r="A363" s="41">
        <v>46016</v>
      </c>
      <c r="B363" s="42">
        <v>0.61916666666666664</v>
      </c>
      <c r="C363" t="s">
        <v>218</v>
      </c>
      <c r="D363" t="s">
        <v>229</v>
      </c>
      <c r="E363" t="s">
        <v>31</v>
      </c>
      <c r="F363" t="s">
        <v>237</v>
      </c>
      <c r="G363">
        <v>200000</v>
      </c>
      <c r="H363" t="s">
        <v>220</v>
      </c>
      <c r="I363" t="s">
        <v>60</v>
      </c>
    </row>
    <row r="364" spans="1:9" x14ac:dyDescent="0.3">
      <c r="A364" s="41">
        <v>46016</v>
      </c>
      <c r="B364" s="42">
        <v>0.61706018518518524</v>
      </c>
      <c r="C364" t="s">
        <v>218</v>
      </c>
      <c r="D364" t="s">
        <v>218</v>
      </c>
      <c r="E364" t="s">
        <v>31</v>
      </c>
      <c r="F364" t="s">
        <v>351</v>
      </c>
      <c r="G364">
        <v>0</v>
      </c>
      <c r="H364" t="s">
        <v>220</v>
      </c>
      <c r="I364" t="s">
        <v>60</v>
      </c>
    </row>
    <row r="365" spans="1:9" x14ac:dyDescent="0.3">
      <c r="A365" s="41">
        <v>46016</v>
      </c>
      <c r="B365" s="42">
        <v>0.61629629629629634</v>
      </c>
      <c r="C365" t="s">
        <v>218</v>
      </c>
      <c r="D365" t="s">
        <v>74</v>
      </c>
      <c r="E365" t="s">
        <v>31</v>
      </c>
      <c r="F365" t="s">
        <v>355</v>
      </c>
      <c r="G365">
        <v>1</v>
      </c>
      <c r="H365" t="s">
        <v>220</v>
      </c>
      <c r="I365" t="s">
        <v>57</v>
      </c>
    </row>
    <row r="366" spans="1:9" x14ac:dyDescent="0.3">
      <c r="A366" s="41">
        <v>46015</v>
      </c>
      <c r="B366" s="42">
        <v>0.74519675925925921</v>
      </c>
      <c r="C366" t="s">
        <v>221</v>
      </c>
      <c r="D366" t="s">
        <v>44</v>
      </c>
      <c r="E366" t="s">
        <v>240</v>
      </c>
      <c r="F366" t="s">
        <v>241</v>
      </c>
      <c r="G366">
        <v>-278400</v>
      </c>
      <c r="H366" t="s">
        <v>220</v>
      </c>
      <c r="I366" t="s">
        <v>242</v>
      </c>
    </row>
    <row r="367" spans="1:9" x14ac:dyDescent="0.3">
      <c r="A367" s="41">
        <v>46015</v>
      </c>
      <c r="B367" s="42">
        <v>0.6506481481481482</v>
      </c>
      <c r="C367" t="s">
        <v>218</v>
      </c>
      <c r="D367" t="s">
        <v>31</v>
      </c>
      <c r="E367" t="s">
        <v>31</v>
      </c>
      <c r="F367" t="s">
        <v>300</v>
      </c>
      <c r="G367">
        <v>2500000</v>
      </c>
      <c r="H367" t="s">
        <v>220</v>
      </c>
      <c r="I367" t="s">
        <v>76</v>
      </c>
    </row>
    <row r="368" spans="1:9" x14ac:dyDescent="0.3">
      <c r="A368" s="41">
        <v>46015</v>
      </c>
      <c r="B368" s="42">
        <v>0.4924189814814815</v>
      </c>
      <c r="C368" t="s">
        <v>221</v>
      </c>
      <c r="D368" t="s">
        <v>44</v>
      </c>
      <c r="E368" t="s">
        <v>243</v>
      </c>
      <c r="F368" t="s">
        <v>356</v>
      </c>
      <c r="G368">
        <v>-100</v>
      </c>
      <c r="H368" t="s">
        <v>220</v>
      </c>
      <c r="I368" t="s">
        <v>242</v>
      </c>
    </row>
    <row r="369" spans="1:9" x14ac:dyDescent="0.3">
      <c r="A369" s="41">
        <v>46015</v>
      </c>
      <c r="B369" s="42">
        <v>0.38393518518518521</v>
      </c>
      <c r="C369" t="s">
        <v>218</v>
      </c>
      <c r="D369" t="s">
        <v>328</v>
      </c>
      <c r="E369" t="s">
        <v>31</v>
      </c>
      <c r="F369" t="s">
        <v>357</v>
      </c>
      <c r="G369">
        <v>123630</v>
      </c>
      <c r="H369" t="s">
        <v>220</v>
      </c>
      <c r="I369" t="s">
        <v>57</v>
      </c>
    </row>
    <row r="370" spans="1:9" x14ac:dyDescent="0.3">
      <c r="A370" s="41">
        <v>46012</v>
      </c>
      <c r="B370" s="42">
        <v>0.39708333333333329</v>
      </c>
      <c r="C370" t="s">
        <v>233</v>
      </c>
      <c r="D370" t="s">
        <v>28</v>
      </c>
      <c r="E370" t="s">
        <v>31</v>
      </c>
      <c r="F370" t="s">
        <v>358</v>
      </c>
      <c r="G370">
        <v>18</v>
      </c>
      <c r="H370" t="s">
        <v>220</v>
      </c>
      <c r="I370" t="s">
        <v>55</v>
      </c>
    </row>
    <row r="371" spans="1:9" x14ac:dyDescent="0.3">
      <c r="A371" s="41">
        <v>46011</v>
      </c>
      <c r="B371" s="42">
        <v>0.62254629629629632</v>
      </c>
      <c r="C371" t="s">
        <v>221</v>
      </c>
      <c r="D371" t="s">
        <v>39</v>
      </c>
      <c r="E371" t="s">
        <v>245</v>
      </c>
      <c r="F371" t="s">
        <v>267</v>
      </c>
      <c r="G371">
        <v>0</v>
      </c>
      <c r="H371" t="s">
        <v>220</v>
      </c>
      <c r="I371" t="s">
        <v>268</v>
      </c>
    </row>
    <row r="372" spans="1:9" x14ac:dyDescent="0.3">
      <c r="A372" s="41">
        <v>46011</v>
      </c>
      <c r="B372" s="42">
        <v>0.46349537037037042</v>
      </c>
      <c r="C372" t="s">
        <v>233</v>
      </c>
      <c r="D372" t="s">
        <v>28</v>
      </c>
      <c r="E372" t="s">
        <v>31</v>
      </c>
      <c r="F372" t="s">
        <v>312</v>
      </c>
      <c r="G372">
        <v>0</v>
      </c>
      <c r="H372" t="s">
        <v>220</v>
      </c>
      <c r="I372" t="s">
        <v>59</v>
      </c>
    </row>
    <row r="373" spans="1:9" x14ac:dyDescent="0.3">
      <c r="A373" s="41">
        <v>46011</v>
      </c>
      <c r="B373" s="42">
        <v>0.22177083333333331</v>
      </c>
      <c r="C373" t="s">
        <v>218</v>
      </c>
      <c r="D373" t="s">
        <v>31</v>
      </c>
      <c r="E373" t="s">
        <v>31</v>
      </c>
      <c r="F373" t="s">
        <v>230</v>
      </c>
      <c r="G373">
        <v>0</v>
      </c>
      <c r="H373" t="s">
        <v>220</v>
      </c>
      <c r="I373" t="s">
        <v>68</v>
      </c>
    </row>
    <row r="374" spans="1:9" x14ac:dyDescent="0.3">
      <c r="A374" s="41">
        <v>46010</v>
      </c>
      <c r="B374" s="42">
        <v>0.1246412037037037</v>
      </c>
      <c r="C374" t="s">
        <v>221</v>
      </c>
      <c r="D374" t="s">
        <v>44</v>
      </c>
      <c r="E374" t="s">
        <v>243</v>
      </c>
      <c r="F374" t="s">
        <v>251</v>
      </c>
      <c r="G374">
        <v>-36390</v>
      </c>
      <c r="H374" t="s">
        <v>220</v>
      </c>
      <c r="I374" t="s">
        <v>242</v>
      </c>
    </row>
    <row r="375" spans="1:9" x14ac:dyDescent="0.3">
      <c r="A375" s="41">
        <v>46009</v>
      </c>
      <c r="B375" s="42">
        <v>0.7990856481481482</v>
      </c>
      <c r="C375" t="s">
        <v>218</v>
      </c>
      <c r="D375" t="s">
        <v>252</v>
      </c>
      <c r="E375" t="s">
        <v>31</v>
      </c>
      <c r="F375" t="s">
        <v>338</v>
      </c>
      <c r="G375">
        <v>-10000</v>
      </c>
      <c r="H375" t="s">
        <v>220</v>
      </c>
      <c r="I375" t="s">
        <v>57</v>
      </c>
    </row>
    <row r="376" spans="1:9" x14ac:dyDescent="0.3">
      <c r="A376" s="41">
        <v>46009</v>
      </c>
      <c r="B376" s="42">
        <v>0.72988425925925926</v>
      </c>
      <c r="C376" t="s">
        <v>221</v>
      </c>
      <c r="D376" t="s">
        <v>42</v>
      </c>
      <c r="E376" t="s">
        <v>316</v>
      </c>
      <c r="F376" t="s">
        <v>359</v>
      </c>
      <c r="G376">
        <v>-500000</v>
      </c>
      <c r="H376" t="s">
        <v>220</v>
      </c>
      <c r="I376" t="s">
        <v>64</v>
      </c>
    </row>
    <row r="377" spans="1:9" x14ac:dyDescent="0.3">
      <c r="A377" s="41">
        <v>46009</v>
      </c>
      <c r="B377" s="42">
        <v>0.72936342592592596</v>
      </c>
      <c r="C377" t="s">
        <v>218</v>
      </c>
      <c r="D377" t="s">
        <v>229</v>
      </c>
      <c r="E377" t="s">
        <v>31</v>
      </c>
      <c r="F377" t="s">
        <v>7</v>
      </c>
      <c r="G377">
        <v>-500000</v>
      </c>
      <c r="H377" t="s">
        <v>220</v>
      </c>
      <c r="I377" t="s">
        <v>57</v>
      </c>
    </row>
    <row r="378" spans="1:9" x14ac:dyDescent="0.3">
      <c r="A378" s="41">
        <v>46009</v>
      </c>
      <c r="B378" s="42">
        <v>0.72936342592592596</v>
      </c>
      <c r="C378" t="s">
        <v>218</v>
      </c>
      <c r="D378" t="s">
        <v>229</v>
      </c>
      <c r="E378" t="s">
        <v>31</v>
      </c>
      <c r="F378" t="s">
        <v>7</v>
      </c>
      <c r="G378">
        <v>500000</v>
      </c>
      <c r="H378" t="s">
        <v>220</v>
      </c>
      <c r="I378" t="s">
        <v>64</v>
      </c>
    </row>
    <row r="379" spans="1:9" x14ac:dyDescent="0.3">
      <c r="A379" s="41">
        <v>46008</v>
      </c>
      <c r="B379" s="42">
        <v>0.79168981481481482</v>
      </c>
      <c r="C379" t="s">
        <v>218</v>
      </c>
      <c r="D379" t="s">
        <v>229</v>
      </c>
      <c r="E379" t="s">
        <v>31</v>
      </c>
      <c r="F379" t="s">
        <v>7</v>
      </c>
      <c r="G379">
        <v>-500000</v>
      </c>
      <c r="H379" t="s">
        <v>220</v>
      </c>
      <c r="I379" t="s">
        <v>57</v>
      </c>
    </row>
    <row r="380" spans="1:9" x14ac:dyDescent="0.3">
      <c r="A380" s="41">
        <v>46008</v>
      </c>
      <c r="B380" s="42">
        <v>0.79167824074074078</v>
      </c>
      <c r="C380" t="s">
        <v>218</v>
      </c>
      <c r="D380" t="s">
        <v>229</v>
      </c>
      <c r="E380" t="s">
        <v>31</v>
      </c>
      <c r="F380" t="s">
        <v>7</v>
      </c>
      <c r="G380">
        <v>-2000000</v>
      </c>
      <c r="H380" t="s">
        <v>220</v>
      </c>
      <c r="I380" t="s">
        <v>57</v>
      </c>
    </row>
    <row r="381" spans="1:9" x14ac:dyDescent="0.3">
      <c r="A381" s="41">
        <v>46008</v>
      </c>
      <c r="B381" s="42">
        <v>0.38849537037037041</v>
      </c>
      <c r="C381" t="s">
        <v>233</v>
      </c>
      <c r="D381" t="s">
        <v>29</v>
      </c>
      <c r="E381" t="s">
        <v>31</v>
      </c>
      <c r="F381" t="s">
        <v>360</v>
      </c>
      <c r="G381">
        <v>3008680</v>
      </c>
      <c r="H381" t="s">
        <v>220</v>
      </c>
      <c r="I381" t="s">
        <v>57</v>
      </c>
    </row>
    <row r="382" spans="1:9" x14ac:dyDescent="0.3">
      <c r="A382" s="41">
        <v>46005</v>
      </c>
      <c r="B382" s="42">
        <v>0.50896990740740744</v>
      </c>
      <c r="C382" t="s">
        <v>233</v>
      </c>
      <c r="D382" t="s">
        <v>28</v>
      </c>
      <c r="E382" t="s">
        <v>31</v>
      </c>
      <c r="F382" t="s">
        <v>361</v>
      </c>
      <c r="G382">
        <v>24</v>
      </c>
      <c r="H382" t="s">
        <v>220</v>
      </c>
      <c r="I382" t="s">
        <v>69</v>
      </c>
    </row>
    <row r="383" spans="1:9" x14ac:dyDescent="0.3">
      <c r="A383" s="41">
        <v>46004</v>
      </c>
      <c r="B383" s="42">
        <v>0.65855324074074073</v>
      </c>
      <c r="C383" t="s">
        <v>221</v>
      </c>
      <c r="D383" t="s">
        <v>39</v>
      </c>
      <c r="E383" t="s">
        <v>245</v>
      </c>
      <c r="F383" t="s">
        <v>267</v>
      </c>
      <c r="G383">
        <v>0</v>
      </c>
      <c r="H383" t="s">
        <v>220</v>
      </c>
      <c r="I383" t="s">
        <v>268</v>
      </c>
    </row>
    <row r="384" spans="1:9" x14ac:dyDescent="0.3">
      <c r="A384" s="41">
        <v>46004</v>
      </c>
      <c r="B384" s="42">
        <v>0.59204861111111107</v>
      </c>
      <c r="C384" t="s">
        <v>218</v>
      </c>
      <c r="D384" t="s">
        <v>238</v>
      </c>
      <c r="E384" t="s">
        <v>31</v>
      </c>
      <c r="F384" t="s">
        <v>324</v>
      </c>
      <c r="G384">
        <v>3000</v>
      </c>
      <c r="H384" t="s">
        <v>220</v>
      </c>
      <c r="I384" t="s">
        <v>362</v>
      </c>
    </row>
    <row r="385" spans="1:9" x14ac:dyDescent="0.3">
      <c r="A385" s="41">
        <v>46004</v>
      </c>
      <c r="B385" s="42">
        <v>0.58875</v>
      </c>
      <c r="C385" t="s">
        <v>221</v>
      </c>
      <c r="D385" t="s">
        <v>39</v>
      </c>
      <c r="E385" t="s">
        <v>245</v>
      </c>
      <c r="F385" t="s">
        <v>324</v>
      </c>
      <c r="G385">
        <v>-3000</v>
      </c>
      <c r="H385" t="s">
        <v>220</v>
      </c>
      <c r="I385" t="s">
        <v>362</v>
      </c>
    </row>
    <row r="386" spans="1:9" x14ac:dyDescent="0.3">
      <c r="A386" s="41">
        <v>46004</v>
      </c>
      <c r="B386" s="42">
        <v>0.58855324074074078</v>
      </c>
      <c r="C386" t="s">
        <v>218</v>
      </c>
      <c r="D386" t="s">
        <v>229</v>
      </c>
      <c r="E386" t="s">
        <v>31</v>
      </c>
      <c r="F386" t="s">
        <v>363</v>
      </c>
      <c r="G386">
        <v>10000</v>
      </c>
      <c r="H386" t="s">
        <v>220</v>
      </c>
      <c r="I386" t="s">
        <v>362</v>
      </c>
    </row>
    <row r="387" spans="1:9" x14ac:dyDescent="0.3">
      <c r="A387" s="41">
        <v>46003</v>
      </c>
      <c r="B387" s="42">
        <v>0.47047453703703701</v>
      </c>
      <c r="C387" t="s">
        <v>218</v>
      </c>
      <c r="D387" t="s">
        <v>229</v>
      </c>
      <c r="E387" t="s">
        <v>31</v>
      </c>
      <c r="F387" t="s">
        <v>7</v>
      </c>
      <c r="G387">
        <v>-241</v>
      </c>
      <c r="H387" t="s">
        <v>220</v>
      </c>
      <c r="I387" t="s">
        <v>57</v>
      </c>
    </row>
    <row r="388" spans="1:9" x14ac:dyDescent="0.3">
      <c r="A388" s="41">
        <v>46003</v>
      </c>
      <c r="B388" s="42">
        <v>0.4601736111111111</v>
      </c>
      <c r="C388" t="s">
        <v>218</v>
      </c>
      <c r="D388" t="s">
        <v>328</v>
      </c>
      <c r="E388" t="s">
        <v>31</v>
      </c>
      <c r="F388" t="s">
        <v>364</v>
      </c>
      <c r="G388">
        <v>261</v>
      </c>
      <c r="H388" t="s">
        <v>220</v>
      </c>
      <c r="I388" t="s">
        <v>67</v>
      </c>
    </row>
    <row r="389" spans="1:9" x14ac:dyDescent="0.3">
      <c r="A389" s="41">
        <v>46003</v>
      </c>
      <c r="B389" s="42">
        <v>0</v>
      </c>
      <c r="C389" t="s">
        <v>221</v>
      </c>
      <c r="D389" t="s">
        <v>42</v>
      </c>
      <c r="E389" t="s">
        <v>316</v>
      </c>
      <c r="F389" t="s">
        <v>365</v>
      </c>
      <c r="G389">
        <v>446</v>
      </c>
      <c r="H389" t="s">
        <v>220</v>
      </c>
      <c r="I389" t="s">
        <v>346</v>
      </c>
    </row>
    <row r="390" spans="1:9" x14ac:dyDescent="0.3">
      <c r="A390" s="41">
        <v>46002</v>
      </c>
      <c r="B390" s="42">
        <v>0.71621527777777783</v>
      </c>
      <c r="C390" t="s">
        <v>218</v>
      </c>
      <c r="D390" t="s">
        <v>229</v>
      </c>
      <c r="E390" t="s">
        <v>31</v>
      </c>
      <c r="F390" t="s">
        <v>7</v>
      </c>
      <c r="G390">
        <v>-261</v>
      </c>
      <c r="H390" t="s">
        <v>220</v>
      </c>
      <c r="I390" t="s">
        <v>57</v>
      </c>
    </row>
    <row r="391" spans="1:9" x14ac:dyDescent="0.3">
      <c r="A391" s="41">
        <v>46002</v>
      </c>
      <c r="B391" s="42">
        <v>0.46033564814814809</v>
      </c>
      <c r="C391" t="s">
        <v>218</v>
      </c>
      <c r="D391" t="s">
        <v>328</v>
      </c>
      <c r="E391" t="s">
        <v>31</v>
      </c>
      <c r="F391" t="s">
        <v>364</v>
      </c>
      <c r="G391">
        <v>200</v>
      </c>
      <c r="H391" t="s">
        <v>220</v>
      </c>
      <c r="I391" t="s">
        <v>67</v>
      </c>
    </row>
    <row r="392" spans="1:9" x14ac:dyDescent="0.3">
      <c r="A392" s="41">
        <v>46002</v>
      </c>
      <c r="B392" s="42">
        <v>0</v>
      </c>
      <c r="C392" t="s">
        <v>221</v>
      </c>
      <c r="D392" t="s">
        <v>42</v>
      </c>
      <c r="E392" t="s">
        <v>316</v>
      </c>
      <c r="F392" t="s">
        <v>365</v>
      </c>
      <c r="G392">
        <v>444</v>
      </c>
      <c r="H392" t="s">
        <v>220</v>
      </c>
      <c r="I392" t="s">
        <v>346</v>
      </c>
    </row>
    <row r="393" spans="1:9" x14ac:dyDescent="0.3">
      <c r="A393" s="41">
        <v>46001</v>
      </c>
      <c r="B393" s="42">
        <v>0.60204861111111108</v>
      </c>
      <c r="C393" t="s">
        <v>218</v>
      </c>
      <c r="D393" t="s">
        <v>229</v>
      </c>
      <c r="E393" t="s">
        <v>31</v>
      </c>
      <c r="F393" t="s">
        <v>7</v>
      </c>
      <c r="G393">
        <v>-200</v>
      </c>
      <c r="H393" t="s">
        <v>220</v>
      </c>
      <c r="I393" t="s">
        <v>57</v>
      </c>
    </row>
    <row r="394" spans="1:9" x14ac:dyDescent="0.3">
      <c r="A394" s="41">
        <v>46001</v>
      </c>
      <c r="B394" s="42">
        <v>0.52440972222222226</v>
      </c>
      <c r="C394" t="s">
        <v>218</v>
      </c>
      <c r="D394" t="s">
        <v>328</v>
      </c>
      <c r="E394" t="s">
        <v>31</v>
      </c>
      <c r="F394" t="s">
        <v>364</v>
      </c>
      <c r="G394">
        <v>100</v>
      </c>
      <c r="H394" t="s">
        <v>220</v>
      </c>
      <c r="I394" t="s">
        <v>67</v>
      </c>
    </row>
    <row r="395" spans="1:9" x14ac:dyDescent="0.3">
      <c r="A395" s="41">
        <v>46000</v>
      </c>
      <c r="B395" s="42">
        <v>0.82278935185185187</v>
      </c>
      <c r="C395" t="s">
        <v>221</v>
      </c>
      <c r="D395" t="s">
        <v>39</v>
      </c>
      <c r="E395" t="s">
        <v>245</v>
      </c>
      <c r="F395" t="s">
        <v>267</v>
      </c>
      <c r="G395">
        <v>0</v>
      </c>
      <c r="H395" t="s">
        <v>220</v>
      </c>
      <c r="I395" t="s">
        <v>268</v>
      </c>
    </row>
    <row r="396" spans="1:9" x14ac:dyDescent="0.3">
      <c r="A396" s="41">
        <v>46000</v>
      </c>
      <c r="B396" s="42">
        <v>0.5034143518518519</v>
      </c>
      <c r="C396" t="s">
        <v>221</v>
      </c>
      <c r="D396" t="s">
        <v>42</v>
      </c>
      <c r="E396" t="s">
        <v>222</v>
      </c>
      <c r="F396" t="s">
        <v>366</v>
      </c>
      <c r="G396">
        <v>-49511</v>
      </c>
      <c r="H396" t="s">
        <v>220</v>
      </c>
      <c r="I396" t="s">
        <v>346</v>
      </c>
    </row>
    <row r="397" spans="1:9" x14ac:dyDescent="0.3">
      <c r="A397" s="41">
        <v>46000</v>
      </c>
      <c r="B397" s="42">
        <v>0.45993055555555562</v>
      </c>
      <c r="C397" t="s">
        <v>218</v>
      </c>
      <c r="D397" t="s">
        <v>328</v>
      </c>
      <c r="E397" t="s">
        <v>31</v>
      </c>
      <c r="F397" t="s">
        <v>364</v>
      </c>
      <c r="G397">
        <v>261</v>
      </c>
      <c r="H397" t="s">
        <v>220</v>
      </c>
      <c r="I397" t="s">
        <v>67</v>
      </c>
    </row>
    <row r="398" spans="1:9" x14ac:dyDescent="0.3">
      <c r="A398" s="41">
        <v>46000</v>
      </c>
      <c r="B398" s="42">
        <v>0.29268518518518521</v>
      </c>
      <c r="C398" t="s">
        <v>218</v>
      </c>
      <c r="D398" t="s">
        <v>229</v>
      </c>
      <c r="E398" t="s">
        <v>31</v>
      </c>
      <c r="F398" t="s">
        <v>7</v>
      </c>
      <c r="G398">
        <v>-100</v>
      </c>
      <c r="H398" t="s">
        <v>220</v>
      </c>
      <c r="I398" t="s">
        <v>57</v>
      </c>
    </row>
    <row r="399" spans="1:9" x14ac:dyDescent="0.3">
      <c r="A399" s="41">
        <v>45999</v>
      </c>
      <c r="B399" s="42">
        <v>0.69076388888888884</v>
      </c>
      <c r="C399" t="s">
        <v>221</v>
      </c>
      <c r="D399" t="s">
        <v>41</v>
      </c>
      <c r="E399" t="s">
        <v>367</v>
      </c>
      <c r="F399" t="s">
        <v>368</v>
      </c>
      <c r="G399">
        <v>-446</v>
      </c>
      <c r="H399" t="s">
        <v>220</v>
      </c>
      <c r="I399" t="s">
        <v>346</v>
      </c>
    </row>
    <row r="400" spans="1:9" x14ac:dyDescent="0.3">
      <c r="A400" s="41">
        <v>45999</v>
      </c>
      <c r="B400" s="42">
        <v>0.64261574074074079</v>
      </c>
      <c r="C400" t="s">
        <v>221</v>
      </c>
      <c r="D400" t="s">
        <v>36</v>
      </c>
      <c r="E400" t="s">
        <v>354</v>
      </c>
      <c r="F400" t="s">
        <v>369</v>
      </c>
      <c r="G400">
        <v>-261</v>
      </c>
      <c r="H400" t="s">
        <v>220</v>
      </c>
      <c r="I400" t="s">
        <v>65</v>
      </c>
    </row>
    <row r="401" spans="1:9" x14ac:dyDescent="0.3">
      <c r="A401" s="41">
        <v>45999</v>
      </c>
      <c r="B401" s="42">
        <v>0.46140046296296289</v>
      </c>
      <c r="C401" t="s">
        <v>218</v>
      </c>
      <c r="D401" t="s">
        <v>328</v>
      </c>
      <c r="E401" t="s">
        <v>31</v>
      </c>
      <c r="F401" t="s">
        <v>364</v>
      </c>
      <c r="G401">
        <v>262</v>
      </c>
      <c r="H401" t="s">
        <v>220</v>
      </c>
      <c r="I401" t="s">
        <v>67</v>
      </c>
    </row>
    <row r="402" spans="1:9" x14ac:dyDescent="0.3">
      <c r="A402" s="41">
        <v>45998</v>
      </c>
      <c r="B402" s="42">
        <v>0.5854166666666667</v>
      </c>
      <c r="C402" t="s">
        <v>218</v>
      </c>
      <c r="D402" t="s">
        <v>229</v>
      </c>
      <c r="E402" t="s">
        <v>31</v>
      </c>
      <c r="F402" t="s">
        <v>7</v>
      </c>
      <c r="G402">
        <v>-200</v>
      </c>
      <c r="H402" t="s">
        <v>220</v>
      </c>
      <c r="I402" t="s">
        <v>57</v>
      </c>
    </row>
    <row r="403" spans="1:9" x14ac:dyDescent="0.3">
      <c r="A403" s="41">
        <v>45997</v>
      </c>
      <c r="B403" s="42">
        <v>0.83644675925925926</v>
      </c>
      <c r="C403" t="s">
        <v>218</v>
      </c>
      <c r="D403" t="s">
        <v>229</v>
      </c>
      <c r="E403" t="s">
        <v>31</v>
      </c>
      <c r="F403" t="s">
        <v>7</v>
      </c>
      <c r="G403">
        <v>-4000</v>
      </c>
      <c r="H403" t="s">
        <v>220</v>
      </c>
      <c r="I403" t="s">
        <v>70</v>
      </c>
    </row>
    <row r="404" spans="1:9" x14ac:dyDescent="0.3">
      <c r="A404" s="41">
        <v>45997</v>
      </c>
      <c r="B404" s="42">
        <v>0.83315972222222223</v>
      </c>
      <c r="C404" t="s">
        <v>221</v>
      </c>
      <c r="D404" t="s">
        <v>38</v>
      </c>
      <c r="E404" t="s">
        <v>370</v>
      </c>
      <c r="F404" t="s">
        <v>371</v>
      </c>
      <c r="G404">
        <v>-19482</v>
      </c>
      <c r="H404" t="s">
        <v>220</v>
      </c>
      <c r="I404" t="s">
        <v>228</v>
      </c>
    </row>
    <row r="405" spans="1:9" x14ac:dyDescent="0.3">
      <c r="A405" s="41">
        <v>45997</v>
      </c>
      <c r="B405" s="42">
        <v>0.8078819444444445</v>
      </c>
      <c r="C405" t="s">
        <v>218</v>
      </c>
      <c r="D405" t="s">
        <v>229</v>
      </c>
      <c r="E405" t="s">
        <v>31</v>
      </c>
      <c r="F405" t="s">
        <v>7</v>
      </c>
      <c r="G405">
        <v>-1000</v>
      </c>
      <c r="H405" t="s">
        <v>220</v>
      </c>
      <c r="I405" t="s">
        <v>57</v>
      </c>
    </row>
    <row r="406" spans="1:9" x14ac:dyDescent="0.3">
      <c r="A406" s="41">
        <v>45996</v>
      </c>
      <c r="B406" s="42">
        <v>0.88002314814814819</v>
      </c>
      <c r="C406" t="s">
        <v>221</v>
      </c>
      <c r="D406" t="s">
        <v>38</v>
      </c>
      <c r="E406" t="s">
        <v>370</v>
      </c>
      <c r="F406" t="s">
        <v>372</v>
      </c>
      <c r="G406">
        <v>-1440</v>
      </c>
      <c r="H406" t="s">
        <v>220</v>
      </c>
      <c r="I406" t="s">
        <v>373</v>
      </c>
    </row>
    <row r="407" spans="1:9" x14ac:dyDescent="0.3">
      <c r="A407" s="41">
        <v>45996</v>
      </c>
      <c r="B407" s="42">
        <v>0.88002314814814819</v>
      </c>
      <c r="C407" t="s">
        <v>221</v>
      </c>
      <c r="D407" t="s">
        <v>38</v>
      </c>
      <c r="E407" t="s">
        <v>370</v>
      </c>
      <c r="F407" t="s">
        <v>372</v>
      </c>
      <c r="G407">
        <v>-14560</v>
      </c>
      <c r="H407" t="s">
        <v>220</v>
      </c>
      <c r="I407" t="s">
        <v>373</v>
      </c>
    </row>
    <row r="408" spans="1:9" x14ac:dyDescent="0.3">
      <c r="A408" s="41">
        <v>45996</v>
      </c>
      <c r="B408" s="42">
        <v>0.86913194444444442</v>
      </c>
      <c r="C408" t="s">
        <v>221</v>
      </c>
      <c r="D408" t="s">
        <v>38</v>
      </c>
      <c r="E408" t="s">
        <v>370</v>
      </c>
      <c r="F408" t="s">
        <v>372</v>
      </c>
      <c r="G408">
        <v>28692</v>
      </c>
      <c r="H408" t="s">
        <v>220</v>
      </c>
      <c r="I408" t="s">
        <v>346</v>
      </c>
    </row>
    <row r="409" spans="1:9" x14ac:dyDescent="0.3">
      <c r="A409" s="41">
        <v>45996</v>
      </c>
      <c r="B409" s="42">
        <v>0.85886574074074074</v>
      </c>
      <c r="C409" t="s">
        <v>221</v>
      </c>
      <c r="D409" t="s">
        <v>38</v>
      </c>
      <c r="E409" t="s">
        <v>370</v>
      </c>
      <c r="F409" t="s">
        <v>372</v>
      </c>
      <c r="G409">
        <v>31880</v>
      </c>
      <c r="H409" t="s">
        <v>220</v>
      </c>
      <c r="I409" t="s">
        <v>228</v>
      </c>
    </row>
    <row r="410" spans="1:9" x14ac:dyDescent="0.3">
      <c r="A410" s="41">
        <v>45996</v>
      </c>
      <c r="B410" s="42">
        <v>0.85886574074074074</v>
      </c>
      <c r="C410" t="s">
        <v>221</v>
      </c>
      <c r="D410" t="s">
        <v>38</v>
      </c>
      <c r="E410" t="s">
        <v>370</v>
      </c>
      <c r="F410" t="s">
        <v>372</v>
      </c>
      <c r="G410">
        <v>-28692</v>
      </c>
      <c r="H410" t="s">
        <v>220</v>
      </c>
      <c r="I410" t="s">
        <v>346</v>
      </c>
    </row>
    <row r="411" spans="1:9" x14ac:dyDescent="0.3">
      <c r="A411" s="41">
        <v>45996</v>
      </c>
      <c r="B411" s="42">
        <v>0.83892361111111113</v>
      </c>
      <c r="C411" t="s">
        <v>221</v>
      </c>
      <c r="D411" t="s">
        <v>38</v>
      </c>
      <c r="E411" t="s">
        <v>370</v>
      </c>
      <c r="F411" t="s">
        <v>372</v>
      </c>
      <c r="G411">
        <v>28440</v>
      </c>
      <c r="H411" t="s">
        <v>220</v>
      </c>
      <c r="I411" t="s">
        <v>346</v>
      </c>
    </row>
    <row r="412" spans="1:9" x14ac:dyDescent="0.3">
      <c r="A412" s="41">
        <v>45996</v>
      </c>
      <c r="B412" s="42">
        <v>0.8367013888888889</v>
      </c>
      <c r="C412" t="s">
        <v>221</v>
      </c>
      <c r="D412" t="s">
        <v>38</v>
      </c>
      <c r="E412" t="s">
        <v>370</v>
      </c>
      <c r="F412" t="s">
        <v>372</v>
      </c>
      <c r="G412">
        <v>31600</v>
      </c>
      <c r="H412" t="s">
        <v>220</v>
      </c>
      <c r="I412" t="s">
        <v>228</v>
      </c>
    </row>
    <row r="413" spans="1:9" x14ac:dyDescent="0.3">
      <c r="A413" s="41">
        <v>45996</v>
      </c>
      <c r="B413" s="42">
        <v>0.8367013888888889</v>
      </c>
      <c r="C413" t="s">
        <v>221</v>
      </c>
      <c r="D413" t="s">
        <v>38</v>
      </c>
      <c r="E413" t="s">
        <v>370</v>
      </c>
      <c r="F413" t="s">
        <v>372</v>
      </c>
      <c r="G413">
        <v>-28440</v>
      </c>
      <c r="H413" t="s">
        <v>220</v>
      </c>
      <c r="I413" t="s">
        <v>346</v>
      </c>
    </row>
    <row r="414" spans="1:9" x14ac:dyDescent="0.3">
      <c r="A414" s="41">
        <v>45992</v>
      </c>
      <c r="B414" s="42">
        <v>0.63135416666666666</v>
      </c>
      <c r="C414" t="s">
        <v>221</v>
      </c>
      <c r="D414" t="s">
        <v>34</v>
      </c>
      <c r="E414" t="s">
        <v>374</v>
      </c>
      <c r="F414" t="s">
        <v>375</v>
      </c>
      <c r="G414">
        <v>-50820</v>
      </c>
      <c r="H414" t="s">
        <v>220</v>
      </c>
      <c r="I414" t="s">
        <v>346</v>
      </c>
    </row>
    <row r="415" spans="1:9" x14ac:dyDescent="0.3">
      <c r="A415" s="41">
        <v>45992</v>
      </c>
      <c r="B415" s="42">
        <v>0.62402777777777774</v>
      </c>
      <c r="C415" t="s">
        <v>221</v>
      </c>
      <c r="D415" t="s">
        <v>34</v>
      </c>
      <c r="E415" t="s">
        <v>374</v>
      </c>
      <c r="F415" t="s">
        <v>375</v>
      </c>
      <c r="G415">
        <v>-70000</v>
      </c>
      <c r="H415" t="s">
        <v>220</v>
      </c>
      <c r="I415" t="s">
        <v>346</v>
      </c>
    </row>
    <row r="416" spans="1:9" x14ac:dyDescent="0.3">
      <c r="A416" s="41">
        <v>45992</v>
      </c>
      <c r="B416" s="42">
        <v>0.49085648148148148</v>
      </c>
      <c r="C416" t="s">
        <v>218</v>
      </c>
      <c r="D416" t="s">
        <v>229</v>
      </c>
      <c r="E416" t="s">
        <v>31</v>
      </c>
      <c r="F416" t="s">
        <v>7</v>
      </c>
      <c r="G416">
        <v>-2490000</v>
      </c>
      <c r="H416" t="s">
        <v>220</v>
      </c>
      <c r="I416" t="s">
        <v>57</v>
      </c>
    </row>
    <row r="417" spans="1:9" x14ac:dyDescent="0.3">
      <c r="A417" s="41">
        <v>45992</v>
      </c>
      <c r="B417" s="42">
        <v>0.33424768518518522</v>
      </c>
      <c r="C417" t="s">
        <v>218</v>
      </c>
      <c r="D417" t="s">
        <v>238</v>
      </c>
      <c r="E417" t="s">
        <v>31</v>
      </c>
      <c r="F417" t="s">
        <v>376</v>
      </c>
      <c r="G417">
        <v>1</v>
      </c>
      <c r="H417" t="s">
        <v>220</v>
      </c>
      <c r="I417" t="s">
        <v>57</v>
      </c>
    </row>
    <row r="418" spans="1:9" x14ac:dyDescent="0.3">
      <c r="A418" s="41">
        <v>45992</v>
      </c>
      <c r="B418" s="42">
        <v>0.28991898148148149</v>
      </c>
      <c r="C418" t="s">
        <v>233</v>
      </c>
      <c r="D418" t="s">
        <v>28</v>
      </c>
      <c r="E418" t="s">
        <v>31</v>
      </c>
      <c r="F418" t="s">
        <v>234</v>
      </c>
      <c r="G418">
        <v>87</v>
      </c>
      <c r="H418" t="s">
        <v>220</v>
      </c>
      <c r="I418" t="s">
        <v>63</v>
      </c>
    </row>
    <row r="419" spans="1:9" x14ac:dyDescent="0.3">
      <c r="A419" s="41">
        <v>45992</v>
      </c>
      <c r="B419" s="42">
        <v>0.14390046296296299</v>
      </c>
      <c r="C419" t="s">
        <v>233</v>
      </c>
      <c r="D419" t="s">
        <v>28</v>
      </c>
      <c r="E419" t="s">
        <v>31</v>
      </c>
      <c r="F419" t="s">
        <v>235</v>
      </c>
      <c r="G419">
        <v>24</v>
      </c>
      <c r="H419" t="s">
        <v>220</v>
      </c>
      <c r="I419" t="s">
        <v>70</v>
      </c>
    </row>
    <row r="420" spans="1:9" x14ac:dyDescent="0.3">
      <c r="A420" s="41">
        <v>45992</v>
      </c>
      <c r="B420" s="42">
        <v>7.2233796296296296E-2</v>
      </c>
      <c r="C420" t="s">
        <v>233</v>
      </c>
      <c r="D420" t="s">
        <v>28</v>
      </c>
      <c r="E420" t="s">
        <v>31</v>
      </c>
      <c r="F420" t="s">
        <v>236</v>
      </c>
      <c r="G420">
        <v>4</v>
      </c>
      <c r="H420" t="s">
        <v>220</v>
      </c>
      <c r="I420" t="s">
        <v>64</v>
      </c>
    </row>
    <row r="421" spans="1:9" x14ac:dyDescent="0.3">
      <c r="A421" s="41">
        <v>45991</v>
      </c>
      <c r="B421" s="42">
        <v>0.45263888888888892</v>
      </c>
      <c r="C421" t="s">
        <v>218</v>
      </c>
      <c r="D421" t="s">
        <v>31</v>
      </c>
      <c r="E421" t="s">
        <v>31</v>
      </c>
      <c r="F421" t="s">
        <v>230</v>
      </c>
      <c r="G421">
        <v>250000</v>
      </c>
      <c r="H421" t="s">
        <v>220</v>
      </c>
      <c r="I421" t="s">
        <v>57</v>
      </c>
    </row>
    <row r="422" spans="1:9" x14ac:dyDescent="0.3">
      <c r="A422" s="41">
        <v>45990</v>
      </c>
      <c r="B422" s="42">
        <v>0.54537037037037039</v>
      </c>
      <c r="C422" t="s">
        <v>218</v>
      </c>
      <c r="D422" t="s">
        <v>229</v>
      </c>
      <c r="E422" t="s">
        <v>31</v>
      </c>
      <c r="F422" t="s">
        <v>7</v>
      </c>
      <c r="G422">
        <v>-200000</v>
      </c>
      <c r="H422" t="s">
        <v>220</v>
      </c>
      <c r="I422" t="s">
        <v>64</v>
      </c>
    </row>
    <row r="423" spans="1:9" x14ac:dyDescent="0.3">
      <c r="A423" s="41">
        <v>45990</v>
      </c>
      <c r="B423" s="42">
        <v>0.54537037037037039</v>
      </c>
      <c r="C423" t="s">
        <v>218</v>
      </c>
      <c r="D423" t="s">
        <v>229</v>
      </c>
      <c r="E423" t="s">
        <v>31</v>
      </c>
      <c r="F423" t="s">
        <v>7</v>
      </c>
      <c r="G423">
        <v>200000</v>
      </c>
      <c r="H423" t="s">
        <v>220</v>
      </c>
      <c r="I423" t="s">
        <v>57</v>
      </c>
    </row>
    <row r="424" spans="1:9" x14ac:dyDescent="0.3">
      <c r="A424" s="41">
        <v>45990</v>
      </c>
      <c r="B424" s="42">
        <v>0.1759259259259259</v>
      </c>
      <c r="C424" t="s">
        <v>233</v>
      </c>
      <c r="D424" t="s">
        <v>28</v>
      </c>
      <c r="E424" t="s">
        <v>31</v>
      </c>
      <c r="F424" t="s">
        <v>234</v>
      </c>
      <c r="G424">
        <v>0</v>
      </c>
      <c r="H424" t="s">
        <v>220</v>
      </c>
      <c r="I424" t="s">
        <v>66</v>
      </c>
    </row>
    <row r="425" spans="1:9" x14ac:dyDescent="0.3">
      <c r="A425" s="41">
        <v>45990</v>
      </c>
      <c r="B425" s="42">
        <v>0.1164236111111111</v>
      </c>
      <c r="C425" t="s">
        <v>218</v>
      </c>
      <c r="D425" t="s">
        <v>238</v>
      </c>
      <c r="E425" t="s">
        <v>31</v>
      </c>
      <c r="F425" t="s">
        <v>249</v>
      </c>
      <c r="G425">
        <v>0</v>
      </c>
      <c r="H425" t="s">
        <v>220</v>
      </c>
      <c r="I425" t="s">
        <v>65</v>
      </c>
    </row>
    <row r="426" spans="1:9" x14ac:dyDescent="0.3">
      <c r="A426" s="41">
        <v>45986</v>
      </c>
      <c r="B426" s="42">
        <v>0.74447916666666669</v>
      </c>
      <c r="C426" t="s">
        <v>221</v>
      </c>
      <c r="D426" t="s">
        <v>44</v>
      </c>
      <c r="E426" t="s">
        <v>240</v>
      </c>
      <c r="F426" t="s">
        <v>241</v>
      </c>
      <c r="G426">
        <v>-270550</v>
      </c>
      <c r="H426" t="s">
        <v>220</v>
      </c>
      <c r="I426" t="s">
        <v>242</v>
      </c>
    </row>
    <row r="427" spans="1:9" x14ac:dyDescent="0.3">
      <c r="A427" s="41">
        <v>45985</v>
      </c>
      <c r="B427" s="42">
        <v>0.49251157407407409</v>
      </c>
      <c r="C427" t="s">
        <v>221</v>
      </c>
      <c r="D427" t="s">
        <v>44</v>
      </c>
      <c r="E427" t="s">
        <v>243</v>
      </c>
      <c r="F427" t="s">
        <v>356</v>
      </c>
      <c r="G427">
        <v>-100</v>
      </c>
      <c r="H427" t="s">
        <v>220</v>
      </c>
      <c r="I427" t="s">
        <v>242</v>
      </c>
    </row>
    <row r="428" spans="1:9" x14ac:dyDescent="0.3">
      <c r="A428" s="41">
        <v>45983</v>
      </c>
      <c r="B428" s="42">
        <v>0.68745370370370373</v>
      </c>
      <c r="C428" t="s">
        <v>218</v>
      </c>
      <c r="D428" t="s">
        <v>31</v>
      </c>
      <c r="E428" t="s">
        <v>31</v>
      </c>
      <c r="F428" t="s">
        <v>230</v>
      </c>
      <c r="G428">
        <v>130000</v>
      </c>
      <c r="H428" t="s">
        <v>220</v>
      </c>
      <c r="I428" t="s">
        <v>57</v>
      </c>
    </row>
    <row r="429" spans="1:9" x14ac:dyDescent="0.3">
      <c r="A429" s="41">
        <v>45983</v>
      </c>
      <c r="B429" s="42">
        <v>0.50406249999999997</v>
      </c>
      <c r="C429" t="s">
        <v>221</v>
      </c>
      <c r="D429" t="s">
        <v>43</v>
      </c>
      <c r="E429" t="s">
        <v>377</v>
      </c>
      <c r="F429" t="s">
        <v>378</v>
      </c>
      <c r="G429">
        <v>115219</v>
      </c>
      <c r="H429" t="s">
        <v>220</v>
      </c>
      <c r="I429" t="s">
        <v>335</v>
      </c>
    </row>
    <row r="430" spans="1:9" x14ac:dyDescent="0.3">
      <c r="A430" s="41">
        <v>45983</v>
      </c>
      <c r="B430" s="42">
        <v>0.4443287037037037</v>
      </c>
      <c r="C430" t="s">
        <v>221</v>
      </c>
      <c r="D430" t="s">
        <v>43</v>
      </c>
      <c r="E430" t="s">
        <v>377</v>
      </c>
      <c r="F430" t="s">
        <v>379</v>
      </c>
      <c r="G430">
        <v>113734</v>
      </c>
      <c r="H430" t="s">
        <v>220</v>
      </c>
      <c r="I430" t="s">
        <v>242</v>
      </c>
    </row>
    <row r="431" spans="1:9" x14ac:dyDescent="0.3">
      <c r="A431" s="41">
        <v>45983</v>
      </c>
      <c r="B431" s="42">
        <v>0.44422453703703701</v>
      </c>
      <c r="C431" t="s">
        <v>221</v>
      </c>
      <c r="D431" t="s">
        <v>43</v>
      </c>
      <c r="E431" t="s">
        <v>377</v>
      </c>
      <c r="F431" t="s">
        <v>378</v>
      </c>
      <c r="G431">
        <v>-115219</v>
      </c>
      <c r="H431" t="s">
        <v>220</v>
      </c>
      <c r="I431" t="s">
        <v>335</v>
      </c>
    </row>
    <row r="432" spans="1:9" x14ac:dyDescent="0.3">
      <c r="A432" s="41">
        <v>45983</v>
      </c>
      <c r="B432" s="42">
        <v>0.43855324074074081</v>
      </c>
      <c r="C432" t="s">
        <v>218</v>
      </c>
      <c r="D432" t="s">
        <v>229</v>
      </c>
      <c r="E432" t="s">
        <v>31</v>
      </c>
      <c r="F432" t="s">
        <v>7</v>
      </c>
      <c r="G432">
        <v>200000</v>
      </c>
      <c r="H432" t="s">
        <v>220</v>
      </c>
      <c r="I432" t="s">
        <v>64</v>
      </c>
    </row>
    <row r="433" spans="1:9" x14ac:dyDescent="0.3">
      <c r="A433" s="41">
        <v>45983</v>
      </c>
      <c r="B433" s="42">
        <v>0.43854166666666672</v>
      </c>
      <c r="C433" t="s">
        <v>218</v>
      </c>
      <c r="D433" t="s">
        <v>229</v>
      </c>
      <c r="E433" t="s">
        <v>31</v>
      </c>
      <c r="F433" t="s">
        <v>7</v>
      </c>
      <c r="G433">
        <v>-200000</v>
      </c>
      <c r="H433" t="s">
        <v>220</v>
      </c>
      <c r="I433" t="s">
        <v>57</v>
      </c>
    </row>
    <row r="434" spans="1:9" x14ac:dyDescent="0.3">
      <c r="A434" s="41">
        <v>45983</v>
      </c>
      <c r="B434" s="42">
        <v>0.42478009259259258</v>
      </c>
      <c r="C434" t="s">
        <v>221</v>
      </c>
      <c r="D434" t="s">
        <v>43</v>
      </c>
      <c r="E434" t="s">
        <v>377</v>
      </c>
      <c r="F434" t="s">
        <v>379</v>
      </c>
      <c r="G434">
        <v>-113734</v>
      </c>
      <c r="H434" t="s">
        <v>220</v>
      </c>
      <c r="I434" t="s">
        <v>242</v>
      </c>
    </row>
    <row r="435" spans="1:9" x14ac:dyDescent="0.3">
      <c r="A435" s="41">
        <v>45983</v>
      </c>
      <c r="B435" s="42">
        <v>0.1177546296296296</v>
      </c>
      <c r="C435" t="s">
        <v>233</v>
      </c>
      <c r="D435" t="s">
        <v>28</v>
      </c>
      <c r="E435" t="s">
        <v>31</v>
      </c>
      <c r="F435" t="s">
        <v>250</v>
      </c>
      <c r="G435">
        <v>0</v>
      </c>
      <c r="H435" t="s">
        <v>220</v>
      </c>
      <c r="I435" t="s">
        <v>71</v>
      </c>
    </row>
    <row r="436" spans="1:9" x14ac:dyDescent="0.3">
      <c r="A436" s="41">
        <v>45982</v>
      </c>
      <c r="B436" s="42">
        <v>0.71098379629629627</v>
      </c>
      <c r="C436" t="s">
        <v>218</v>
      </c>
      <c r="D436" t="s">
        <v>31</v>
      </c>
      <c r="E436" t="s">
        <v>31</v>
      </c>
      <c r="F436" t="s">
        <v>230</v>
      </c>
      <c r="G436">
        <v>970000</v>
      </c>
      <c r="H436" t="s">
        <v>220</v>
      </c>
      <c r="I436" t="s">
        <v>57</v>
      </c>
    </row>
    <row r="437" spans="1:9" x14ac:dyDescent="0.3">
      <c r="A437" s="41">
        <v>45980</v>
      </c>
      <c r="B437" s="42">
        <v>0.39547453703703711</v>
      </c>
      <c r="C437" t="s">
        <v>221</v>
      </c>
      <c r="D437" t="s">
        <v>44</v>
      </c>
      <c r="E437" t="s">
        <v>243</v>
      </c>
      <c r="F437" t="s">
        <v>251</v>
      </c>
      <c r="G437">
        <v>-36390</v>
      </c>
      <c r="H437" t="s">
        <v>220</v>
      </c>
      <c r="I437" t="s">
        <v>242</v>
      </c>
    </row>
    <row r="438" spans="1:9" x14ac:dyDescent="0.3">
      <c r="A438" s="41">
        <v>45980</v>
      </c>
      <c r="B438" s="42">
        <v>0.29896990740740742</v>
      </c>
      <c r="C438" t="s">
        <v>218</v>
      </c>
      <c r="D438" t="s">
        <v>229</v>
      </c>
      <c r="E438" t="s">
        <v>31</v>
      </c>
      <c r="F438" t="s">
        <v>7</v>
      </c>
      <c r="G438">
        <v>50000</v>
      </c>
      <c r="H438" t="s">
        <v>220</v>
      </c>
      <c r="I438" t="s">
        <v>57</v>
      </c>
    </row>
    <row r="439" spans="1:9" x14ac:dyDescent="0.3">
      <c r="A439" s="41">
        <v>45980</v>
      </c>
      <c r="B439" s="42">
        <v>0.29865740740740743</v>
      </c>
      <c r="C439" t="s">
        <v>218</v>
      </c>
      <c r="D439" t="s">
        <v>229</v>
      </c>
      <c r="E439" t="s">
        <v>31</v>
      </c>
      <c r="F439" t="s">
        <v>7</v>
      </c>
      <c r="G439">
        <v>150000</v>
      </c>
      <c r="H439" t="s">
        <v>220</v>
      </c>
      <c r="I439" t="s">
        <v>57</v>
      </c>
    </row>
    <row r="440" spans="1:9" x14ac:dyDescent="0.3">
      <c r="A440" s="41">
        <v>45980</v>
      </c>
      <c r="B440" s="42">
        <v>0.29571759259259262</v>
      </c>
      <c r="C440" t="s">
        <v>218</v>
      </c>
      <c r="D440" t="s">
        <v>229</v>
      </c>
      <c r="E440" t="s">
        <v>31</v>
      </c>
      <c r="F440" t="s">
        <v>7</v>
      </c>
      <c r="G440">
        <v>69978</v>
      </c>
      <c r="H440" t="s">
        <v>220</v>
      </c>
      <c r="I440" t="s">
        <v>57</v>
      </c>
    </row>
    <row r="441" spans="1:9" x14ac:dyDescent="0.3">
      <c r="A441" s="41">
        <v>45980</v>
      </c>
      <c r="B441" s="42">
        <v>0.29499999999999998</v>
      </c>
      <c r="C441" t="s">
        <v>218</v>
      </c>
      <c r="D441" t="s">
        <v>229</v>
      </c>
      <c r="E441" t="s">
        <v>31</v>
      </c>
      <c r="F441" t="s">
        <v>7</v>
      </c>
      <c r="G441">
        <v>-413052</v>
      </c>
      <c r="H441" t="s">
        <v>220</v>
      </c>
      <c r="I441" t="s">
        <v>56</v>
      </c>
    </row>
    <row r="442" spans="1:9" x14ac:dyDescent="0.3">
      <c r="A442" s="41">
        <v>45980</v>
      </c>
      <c r="B442" s="42">
        <v>0.29499999999999998</v>
      </c>
      <c r="C442" t="s">
        <v>218</v>
      </c>
      <c r="D442" t="s">
        <v>229</v>
      </c>
      <c r="E442" t="s">
        <v>31</v>
      </c>
      <c r="F442" t="s">
        <v>7</v>
      </c>
      <c r="G442">
        <v>413052</v>
      </c>
      <c r="H442" t="s">
        <v>220</v>
      </c>
      <c r="I442" t="s">
        <v>57</v>
      </c>
    </row>
    <row r="443" spans="1:9" x14ac:dyDescent="0.3">
      <c r="A443" s="41">
        <v>45980</v>
      </c>
      <c r="B443" s="42">
        <v>0.29430555555555549</v>
      </c>
      <c r="C443" t="s">
        <v>218</v>
      </c>
      <c r="D443" t="s">
        <v>229</v>
      </c>
      <c r="E443" t="s">
        <v>31</v>
      </c>
      <c r="F443" t="s">
        <v>7</v>
      </c>
      <c r="G443">
        <v>250000</v>
      </c>
      <c r="H443" t="s">
        <v>220</v>
      </c>
      <c r="I443" t="s">
        <v>57</v>
      </c>
    </row>
    <row r="444" spans="1:9" x14ac:dyDescent="0.3">
      <c r="A444" s="41">
        <v>45980</v>
      </c>
      <c r="B444" s="42">
        <v>0.29430555555555549</v>
      </c>
      <c r="C444" t="s">
        <v>218</v>
      </c>
      <c r="D444" t="s">
        <v>229</v>
      </c>
      <c r="E444" t="s">
        <v>31</v>
      </c>
      <c r="F444" t="s">
        <v>7</v>
      </c>
      <c r="G444">
        <v>-250000</v>
      </c>
      <c r="H444" t="s">
        <v>220</v>
      </c>
      <c r="I444" t="s">
        <v>64</v>
      </c>
    </row>
    <row r="445" spans="1:9" x14ac:dyDescent="0.3">
      <c r="A445" s="41">
        <v>45980</v>
      </c>
      <c r="B445" s="42">
        <v>0.29380787037037043</v>
      </c>
      <c r="C445" t="s">
        <v>221</v>
      </c>
      <c r="D445" t="s">
        <v>42</v>
      </c>
      <c r="E445" t="s">
        <v>316</v>
      </c>
      <c r="F445" t="s">
        <v>359</v>
      </c>
      <c r="G445">
        <v>-2250000</v>
      </c>
      <c r="H445" t="s">
        <v>220</v>
      </c>
      <c r="I445" t="s">
        <v>64</v>
      </c>
    </row>
    <row r="446" spans="1:9" x14ac:dyDescent="0.3">
      <c r="A446" s="41">
        <v>45980</v>
      </c>
      <c r="B446" s="42">
        <v>0.28934027777777782</v>
      </c>
      <c r="C446" t="s">
        <v>218</v>
      </c>
      <c r="D446" t="s">
        <v>229</v>
      </c>
      <c r="E446" t="s">
        <v>31</v>
      </c>
      <c r="F446" t="s">
        <v>7</v>
      </c>
      <c r="G446">
        <v>2511657</v>
      </c>
      <c r="H446" t="s">
        <v>220</v>
      </c>
      <c r="I446" t="s">
        <v>64</v>
      </c>
    </row>
    <row r="447" spans="1:9" x14ac:dyDescent="0.3">
      <c r="A447" s="41">
        <v>45978</v>
      </c>
      <c r="B447" s="42">
        <v>0.79170138888888886</v>
      </c>
      <c r="C447" t="s">
        <v>218</v>
      </c>
      <c r="D447" t="s">
        <v>229</v>
      </c>
      <c r="E447" t="s">
        <v>31</v>
      </c>
      <c r="F447" t="s">
        <v>7</v>
      </c>
      <c r="G447">
        <v>-2000000</v>
      </c>
      <c r="H447" t="s">
        <v>220</v>
      </c>
      <c r="I447" t="s">
        <v>57</v>
      </c>
    </row>
    <row r="448" spans="1:9" x14ac:dyDescent="0.3">
      <c r="A448" s="41">
        <v>45978</v>
      </c>
      <c r="B448" s="42">
        <v>0.79168981481481482</v>
      </c>
      <c r="C448" t="s">
        <v>218</v>
      </c>
      <c r="D448" t="s">
        <v>229</v>
      </c>
      <c r="E448" t="s">
        <v>31</v>
      </c>
      <c r="F448" t="s">
        <v>7</v>
      </c>
      <c r="G448">
        <v>-500000</v>
      </c>
      <c r="H448" t="s">
        <v>220</v>
      </c>
      <c r="I448" t="s">
        <v>57</v>
      </c>
    </row>
    <row r="449" spans="1:9" x14ac:dyDescent="0.3">
      <c r="A449" s="41">
        <v>45978</v>
      </c>
      <c r="B449" s="42">
        <v>0.39099537037037041</v>
      </c>
      <c r="C449" t="s">
        <v>233</v>
      </c>
      <c r="D449" t="s">
        <v>29</v>
      </c>
      <c r="E449" t="s">
        <v>31</v>
      </c>
      <c r="F449" t="s">
        <v>380</v>
      </c>
      <c r="G449">
        <v>2896180</v>
      </c>
      <c r="H449" t="s">
        <v>220</v>
      </c>
      <c r="I449" t="s">
        <v>57</v>
      </c>
    </row>
    <row r="450" spans="1:9" x14ac:dyDescent="0.3">
      <c r="A450" s="41">
        <v>45977</v>
      </c>
      <c r="B450" s="42">
        <v>0.4518402777777778</v>
      </c>
      <c r="C450" t="s">
        <v>221</v>
      </c>
      <c r="D450" t="s">
        <v>42</v>
      </c>
      <c r="E450" t="s">
        <v>222</v>
      </c>
      <c r="F450" t="s">
        <v>381</v>
      </c>
      <c r="G450">
        <v>-7600</v>
      </c>
      <c r="H450" t="s">
        <v>220</v>
      </c>
      <c r="I450" t="s">
        <v>228</v>
      </c>
    </row>
    <row r="451" spans="1:9" x14ac:dyDescent="0.3">
      <c r="A451" s="41">
        <v>45976</v>
      </c>
      <c r="B451" s="42">
        <v>0.60753472222222227</v>
      </c>
      <c r="C451" t="s">
        <v>221</v>
      </c>
      <c r="D451" t="s">
        <v>42</v>
      </c>
      <c r="E451" t="s">
        <v>222</v>
      </c>
      <c r="F451" t="s">
        <v>382</v>
      </c>
      <c r="G451">
        <v>-1548</v>
      </c>
      <c r="H451" t="s">
        <v>220</v>
      </c>
      <c r="I451" t="s">
        <v>225</v>
      </c>
    </row>
    <row r="452" spans="1:9" x14ac:dyDescent="0.3">
      <c r="A452" s="41">
        <v>45976</v>
      </c>
      <c r="B452" s="42">
        <v>3.7361111111111109E-2</v>
      </c>
      <c r="C452" t="s">
        <v>218</v>
      </c>
      <c r="D452" t="s">
        <v>31</v>
      </c>
      <c r="E452" t="s">
        <v>31</v>
      </c>
      <c r="F452" t="s">
        <v>230</v>
      </c>
      <c r="G452">
        <v>745</v>
      </c>
      <c r="H452" t="s">
        <v>220</v>
      </c>
      <c r="I452" t="s">
        <v>57</v>
      </c>
    </row>
    <row r="453" spans="1:9" x14ac:dyDescent="0.3">
      <c r="A453" s="41">
        <v>45976</v>
      </c>
      <c r="B453" s="42">
        <v>3.3958333333333333E-2</v>
      </c>
      <c r="C453" t="s">
        <v>218</v>
      </c>
      <c r="D453" t="s">
        <v>31</v>
      </c>
      <c r="E453" t="s">
        <v>31</v>
      </c>
      <c r="F453" t="s">
        <v>230</v>
      </c>
      <c r="G453">
        <v>47</v>
      </c>
      <c r="H453" t="s">
        <v>220</v>
      </c>
      <c r="I453" t="s">
        <v>56</v>
      </c>
    </row>
    <row r="454" spans="1:9" x14ac:dyDescent="0.3">
      <c r="A454" s="41">
        <v>45975</v>
      </c>
      <c r="B454" s="42">
        <v>0.81888888888888889</v>
      </c>
      <c r="C454" t="s">
        <v>221</v>
      </c>
      <c r="D454" t="s">
        <v>42</v>
      </c>
      <c r="E454" t="s">
        <v>222</v>
      </c>
      <c r="F454" t="s">
        <v>382</v>
      </c>
      <c r="G454">
        <v>2384</v>
      </c>
      <c r="H454" t="s">
        <v>220</v>
      </c>
      <c r="I454" t="s">
        <v>225</v>
      </c>
    </row>
    <row r="455" spans="1:9" x14ac:dyDescent="0.3">
      <c r="A455" s="41">
        <v>45975</v>
      </c>
      <c r="B455" s="42">
        <v>0.71967592592592589</v>
      </c>
      <c r="C455" t="s">
        <v>221</v>
      </c>
      <c r="D455" t="s">
        <v>42</v>
      </c>
      <c r="E455" t="s">
        <v>222</v>
      </c>
      <c r="F455" t="s">
        <v>382</v>
      </c>
      <c r="G455">
        <v>-2384</v>
      </c>
      <c r="H455" t="s">
        <v>220</v>
      </c>
      <c r="I455" t="s">
        <v>225</v>
      </c>
    </row>
    <row r="456" spans="1:9" x14ac:dyDescent="0.3">
      <c r="A456" s="41">
        <v>45974</v>
      </c>
      <c r="B456" s="42">
        <v>0.83699074074074076</v>
      </c>
      <c r="C456" t="s">
        <v>221</v>
      </c>
      <c r="D456" t="s">
        <v>42</v>
      </c>
      <c r="E456" t="s">
        <v>222</v>
      </c>
      <c r="F456" t="s">
        <v>313</v>
      </c>
      <c r="G456">
        <v>0</v>
      </c>
      <c r="H456" t="s">
        <v>220</v>
      </c>
      <c r="I456" t="s">
        <v>268</v>
      </c>
    </row>
    <row r="457" spans="1:9" x14ac:dyDescent="0.3">
      <c r="A457" s="41">
        <v>45972</v>
      </c>
      <c r="B457" s="42">
        <v>0.57262731481481477</v>
      </c>
      <c r="C457" t="s">
        <v>218</v>
      </c>
      <c r="D457" t="s">
        <v>238</v>
      </c>
      <c r="E457" t="s">
        <v>31</v>
      </c>
      <c r="F457" t="s">
        <v>323</v>
      </c>
      <c r="G457">
        <v>15000</v>
      </c>
      <c r="H457" t="s">
        <v>220</v>
      </c>
      <c r="I457" t="s">
        <v>57</v>
      </c>
    </row>
    <row r="458" spans="1:9" x14ac:dyDescent="0.3">
      <c r="A458" s="41">
        <v>45971</v>
      </c>
      <c r="B458" s="42">
        <v>0.72282407407407412</v>
      </c>
      <c r="C458" t="s">
        <v>218</v>
      </c>
      <c r="D458" t="s">
        <v>229</v>
      </c>
      <c r="E458" t="s">
        <v>31</v>
      </c>
      <c r="F458" t="s">
        <v>7</v>
      </c>
      <c r="G458">
        <v>30000</v>
      </c>
      <c r="H458" t="s">
        <v>220</v>
      </c>
      <c r="I458" t="s">
        <v>57</v>
      </c>
    </row>
    <row r="459" spans="1:9" x14ac:dyDescent="0.3">
      <c r="A459" s="41">
        <v>45971</v>
      </c>
      <c r="B459" s="42">
        <v>0.72282407407407412</v>
      </c>
      <c r="C459" t="s">
        <v>218</v>
      </c>
      <c r="D459" t="s">
        <v>229</v>
      </c>
      <c r="E459" t="s">
        <v>31</v>
      </c>
      <c r="F459" t="s">
        <v>7</v>
      </c>
      <c r="G459">
        <v>-30000</v>
      </c>
      <c r="H459" t="s">
        <v>220</v>
      </c>
      <c r="I459" t="s">
        <v>70</v>
      </c>
    </row>
    <row r="460" spans="1:9" x14ac:dyDescent="0.3">
      <c r="A460" s="41">
        <v>45971</v>
      </c>
      <c r="B460" s="42">
        <v>0.72206018518518522</v>
      </c>
      <c r="C460" t="s">
        <v>218</v>
      </c>
      <c r="D460" t="s">
        <v>229</v>
      </c>
      <c r="E460" t="s">
        <v>31</v>
      </c>
      <c r="F460" t="s">
        <v>7</v>
      </c>
      <c r="G460">
        <v>-200000</v>
      </c>
      <c r="H460" t="s">
        <v>220</v>
      </c>
      <c r="I460" t="s">
        <v>57</v>
      </c>
    </row>
    <row r="461" spans="1:9" x14ac:dyDescent="0.3">
      <c r="A461" s="41">
        <v>45970</v>
      </c>
      <c r="B461" s="42">
        <v>0.87155092592592598</v>
      </c>
      <c r="C461" t="s">
        <v>221</v>
      </c>
      <c r="D461" t="s">
        <v>42</v>
      </c>
      <c r="E461" t="s">
        <v>316</v>
      </c>
      <c r="F461" t="s">
        <v>359</v>
      </c>
      <c r="G461">
        <v>-1500000</v>
      </c>
      <c r="H461" t="s">
        <v>220</v>
      </c>
      <c r="I461" t="s">
        <v>64</v>
      </c>
    </row>
    <row r="462" spans="1:9" x14ac:dyDescent="0.3">
      <c r="A462" s="41">
        <v>45970</v>
      </c>
      <c r="B462" s="42">
        <v>0.8709027777777778</v>
      </c>
      <c r="C462" t="s">
        <v>218</v>
      </c>
      <c r="D462" t="s">
        <v>229</v>
      </c>
      <c r="E462" t="s">
        <v>31</v>
      </c>
      <c r="F462" t="s">
        <v>7</v>
      </c>
      <c r="G462">
        <v>1000000</v>
      </c>
      <c r="H462" t="s">
        <v>220</v>
      </c>
      <c r="I462" t="s">
        <v>64</v>
      </c>
    </row>
    <row r="463" spans="1:9" x14ac:dyDescent="0.3">
      <c r="A463" s="41">
        <v>45970</v>
      </c>
      <c r="B463" s="42">
        <v>0.87039351851851854</v>
      </c>
      <c r="C463" t="s">
        <v>218</v>
      </c>
      <c r="D463" t="s">
        <v>229</v>
      </c>
      <c r="E463" t="s">
        <v>31</v>
      </c>
      <c r="F463" t="s">
        <v>7</v>
      </c>
      <c r="G463">
        <v>-500000</v>
      </c>
      <c r="H463" t="s">
        <v>220</v>
      </c>
      <c r="I463" t="s">
        <v>57</v>
      </c>
    </row>
    <row r="464" spans="1:9" x14ac:dyDescent="0.3">
      <c r="A464" s="41">
        <v>45970</v>
      </c>
      <c r="B464" s="42">
        <v>0.87039351851851854</v>
      </c>
      <c r="C464" t="s">
        <v>218</v>
      </c>
      <c r="D464" t="s">
        <v>229</v>
      </c>
      <c r="E464" t="s">
        <v>31</v>
      </c>
      <c r="F464" t="s">
        <v>7</v>
      </c>
      <c r="G464">
        <v>500000</v>
      </c>
      <c r="H464" t="s">
        <v>220</v>
      </c>
      <c r="I464" t="s">
        <v>64</v>
      </c>
    </row>
    <row r="465" spans="1:9" x14ac:dyDescent="0.3">
      <c r="A465" s="41">
        <v>45970</v>
      </c>
      <c r="B465" s="42">
        <v>0.54098379629629634</v>
      </c>
      <c r="C465" t="s">
        <v>221</v>
      </c>
      <c r="D465" t="s">
        <v>38</v>
      </c>
      <c r="E465" t="s">
        <v>370</v>
      </c>
      <c r="F465" t="s">
        <v>371</v>
      </c>
      <c r="G465">
        <v>-1766</v>
      </c>
      <c r="H465" t="s">
        <v>220</v>
      </c>
      <c r="I465" t="s">
        <v>228</v>
      </c>
    </row>
    <row r="466" spans="1:9" x14ac:dyDescent="0.3">
      <c r="A466" s="41">
        <v>45970</v>
      </c>
      <c r="B466" s="42">
        <v>0.54097222222222219</v>
      </c>
      <c r="C466" t="s">
        <v>221</v>
      </c>
      <c r="D466" t="s">
        <v>36</v>
      </c>
      <c r="E466" t="s">
        <v>281</v>
      </c>
      <c r="F466" t="s">
        <v>282</v>
      </c>
      <c r="G466">
        <v>-1766</v>
      </c>
      <c r="H466" t="s">
        <v>220</v>
      </c>
      <c r="I466" t="s">
        <v>225</v>
      </c>
    </row>
    <row r="467" spans="1:9" x14ac:dyDescent="0.3">
      <c r="A467" s="41">
        <v>45970</v>
      </c>
      <c r="B467" s="42">
        <v>0.53834490740740737</v>
      </c>
      <c r="C467" t="s">
        <v>221</v>
      </c>
      <c r="D467" t="s">
        <v>38</v>
      </c>
      <c r="E467" t="s">
        <v>370</v>
      </c>
      <c r="F467" t="s">
        <v>371</v>
      </c>
      <c r="G467">
        <v>1800</v>
      </c>
      <c r="H467" t="s">
        <v>220</v>
      </c>
      <c r="I467" t="s">
        <v>225</v>
      </c>
    </row>
    <row r="468" spans="1:9" x14ac:dyDescent="0.3">
      <c r="A468" s="41">
        <v>45970</v>
      </c>
      <c r="B468" s="42">
        <v>0.53721064814814812</v>
      </c>
      <c r="C468" t="s">
        <v>221</v>
      </c>
      <c r="D468" t="s">
        <v>38</v>
      </c>
      <c r="E468" t="s">
        <v>370</v>
      </c>
      <c r="F468" t="s">
        <v>371</v>
      </c>
      <c r="G468">
        <v>-1800</v>
      </c>
      <c r="H468" t="s">
        <v>220</v>
      </c>
      <c r="I468" t="s">
        <v>225</v>
      </c>
    </row>
    <row r="469" spans="1:9" x14ac:dyDescent="0.3">
      <c r="A469" s="41">
        <v>45969</v>
      </c>
      <c r="B469" s="42">
        <v>0.57811342592592596</v>
      </c>
      <c r="C469" t="s">
        <v>221</v>
      </c>
      <c r="D469" t="s">
        <v>39</v>
      </c>
      <c r="E469" t="s">
        <v>245</v>
      </c>
      <c r="F469" t="s">
        <v>246</v>
      </c>
      <c r="G469">
        <v>-3000</v>
      </c>
      <c r="H469" t="s">
        <v>220</v>
      </c>
      <c r="I469" t="s">
        <v>278</v>
      </c>
    </row>
    <row r="470" spans="1:9" x14ac:dyDescent="0.3">
      <c r="A470" s="41">
        <v>45962</v>
      </c>
      <c r="B470" s="42">
        <v>0.59761574074074075</v>
      </c>
      <c r="C470" t="s">
        <v>218</v>
      </c>
      <c r="D470" t="s">
        <v>31</v>
      </c>
      <c r="E470" t="s">
        <v>31</v>
      </c>
      <c r="F470" t="s">
        <v>230</v>
      </c>
      <c r="G470">
        <v>250000</v>
      </c>
      <c r="H470" t="s">
        <v>220</v>
      </c>
      <c r="I470" t="s">
        <v>57</v>
      </c>
    </row>
    <row r="471" spans="1:9" x14ac:dyDescent="0.3">
      <c r="A471" s="41">
        <v>45962</v>
      </c>
      <c r="B471" s="42">
        <v>0.29011574074074081</v>
      </c>
      <c r="C471" t="s">
        <v>233</v>
      </c>
      <c r="D471" t="s">
        <v>28</v>
      </c>
      <c r="E471" t="s">
        <v>31</v>
      </c>
      <c r="F471" t="s">
        <v>234</v>
      </c>
      <c r="G471">
        <v>90</v>
      </c>
      <c r="H471" t="s">
        <v>220</v>
      </c>
      <c r="I471" t="s">
        <v>63</v>
      </c>
    </row>
    <row r="472" spans="1:9" x14ac:dyDescent="0.3">
      <c r="A472" s="41">
        <v>45962</v>
      </c>
      <c r="B472" s="42">
        <v>0.13775462962962959</v>
      </c>
      <c r="C472" t="s">
        <v>233</v>
      </c>
      <c r="D472" t="s">
        <v>28</v>
      </c>
      <c r="E472" t="s">
        <v>31</v>
      </c>
      <c r="F472" t="s">
        <v>235</v>
      </c>
      <c r="G472">
        <v>46</v>
      </c>
      <c r="H472" t="s">
        <v>220</v>
      </c>
      <c r="I472" t="s">
        <v>70</v>
      </c>
    </row>
    <row r="473" spans="1:9" x14ac:dyDescent="0.3">
      <c r="A473" s="41">
        <v>45962</v>
      </c>
      <c r="B473" s="42">
        <v>0.1323148148148148</v>
      </c>
      <c r="C473" t="s">
        <v>233</v>
      </c>
      <c r="D473" t="s">
        <v>28</v>
      </c>
      <c r="E473" t="s">
        <v>31</v>
      </c>
      <c r="F473" t="s">
        <v>236</v>
      </c>
      <c r="G473">
        <v>0</v>
      </c>
      <c r="H473" t="s">
        <v>220</v>
      </c>
      <c r="I473" t="s">
        <v>64</v>
      </c>
    </row>
    <row r="474" spans="1:9" x14ac:dyDescent="0.3">
      <c r="A474" s="41">
        <v>45961</v>
      </c>
      <c r="B474" s="42">
        <v>0.38087962962962962</v>
      </c>
      <c r="C474" t="s">
        <v>218</v>
      </c>
      <c r="D474" t="s">
        <v>328</v>
      </c>
      <c r="E474" t="s">
        <v>31</v>
      </c>
      <c r="F474" t="s">
        <v>357</v>
      </c>
      <c r="G474">
        <v>102010</v>
      </c>
      <c r="H474" t="s">
        <v>220</v>
      </c>
      <c r="I474" t="s">
        <v>56</v>
      </c>
    </row>
    <row r="475" spans="1:9" x14ac:dyDescent="0.3">
      <c r="A475" s="41">
        <v>45957</v>
      </c>
      <c r="B475" s="42">
        <v>0.74543981481481481</v>
      </c>
      <c r="C475" t="s">
        <v>221</v>
      </c>
      <c r="D475" t="s">
        <v>44</v>
      </c>
      <c r="E475" t="s">
        <v>240</v>
      </c>
      <c r="F475" t="s">
        <v>241</v>
      </c>
      <c r="G475">
        <v>-305080</v>
      </c>
      <c r="H475" t="s">
        <v>220</v>
      </c>
      <c r="I475" t="s">
        <v>242</v>
      </c>
    </row>
    <row r="476" spans="1:9" x14ac:dyDescent="0.3">
      <c r="A476" s="41">
        <v>45955</v>
      </c>
      <c r="B476" s="42">
        <v>0.17929398148148151</v>
      </c>
      <c r="C476" t="s">
        <v>233</v>
      </c>
      <c r="D476" t="s">
        <v>28</v>
      </c>
      <c r="E476" t="s">
        <v>31</v>
      </c>
      <c r="F476" t="s">
        <v>234</v>
      </c>
      <c r="G476">
        <v>0</v>
      </c>
      <c r="H476" t="s">
        <v>220</v>
      </c>
      <c r="I476" t="s">
        <v>66</v>
      </c>
    </row>
    <row r="477" spans="1:9" x14ac:dyDescent="0.3">
      <c r="A477" s="41">
        <v>45955</v>
      </c>
      <c r="B477" s="42">
        <v>0.11885416666666671</v>
      </c>
      <c r="C477" t="s">
        <v>218</v>
      </c>
      <c r="D477" t="s">
        <v>238</v>
      </c>
      <c r="E477" t="s">
        <v>31</v>
      </c>
      <c r="F477" t="s">
        <v>249</v>
      </c>
      <c r="G477">
        <v>0</v>
      </c>
      <c r="H477" t="s">
        <v>220</v>
      </c>
      <c r="I477" t="s">
        <v>65</v>
      </c>
    </row>
    <row r="478" spans="1:9" x14ac:dyDescent="0.3">
      <c r="A478" s="41">
        <v>45955</v>
      </c>
      <c r="B478" s="42">
        <v>0.1159722222222222</v>
      </c>
      <c r="C478" t="s">
        <v>233</v>
      </c>
      <c r="D478" t="s">
        <v>28</v>
      </c>
      <c r="E478" t="s">
        <v>31</v>
      </c>
      <c r="F478" t="s">
        <v>250</v>
      </c>
      <c r="G478">
        <v>0</v>
      </c>
      <c r="H478" t="s">
        <v>220</v>
      </c>
      <c r="I478" t="s">
        <v>71</v>
      </c>
    </row>
    <row r="479" spans="1:9" x14ac:dyDescent="0.3">
      <c r="A479" s="41">
        <v>45954</v>
      </c>
      <c r="B479" s="42">
        <v>0.54378472222222218</v>
      </c>
      <c r="C479" t="s">
        <v>221</v>
      </c>
      <c r="D479" t="s">
        <v>44</v>
      </c>
      <c r="E479" t="s">
        <v>243</v>
      </c>
      <c r="F479" t="s">
        <v>356</v>
      </c>
      <c r="G479">
        <v>-100</v>
      </c>
      <c r="H479" t="s">
        <v>220</v>
      </c>
      <c r="I479" t="s">
        <v>242</v>
      </c>
    </row>
    <row r="480" spans="1:9" x14ac:dyDescent="0.3">
      <c r="A480" s="41">
        <v>45951</v>
      </c>
      <c r="B480" s="42">
        <v>0.83917824074074077</v>
      </c>
      <c r="C480" t="s">
        <v>221</v>
      </c>
      <c r="D480" t="s">
        <v>38</v>
      </c>
      <c r="E480" t="s">
        <v>370</v>
      </c>
      <c r="F480" t="s">
        <v>383</v>
      </c>
      <c r="G480">
        <v>-4500</v>
      </c>
      <c r="H480" t="s">
        <v>220</v>
      </c>
      <c r="I480" t="s">
        <v>247</v>
      </c>
    </row>
    <row r="481" spans="1:9" x14ac:dyDescent="0.3">
      <c r="A481" s="41">
        <v>45950</v>
      </c>
      <c r="B481" s="42">
        <v>0.38256944444444452</v>
      </c>
      <c r="C481" t="s">
        <v>221</v>
      </c>
      <c r="D481" t="s">
        <v>44</v>
      </c>
      <c r="E481" t="s">
        <v>243</v>
      </c>
      <c r="F481" t="s">
        <v>251</v>
      </c>
      <c r="G481">
        <v>-36390</v>
      </c>
      <c r="H481" t="s">
        <v>220</v>
      </c>
      <c r="I481" t="s">
        <v>242</v>
      </c>
    </row>
    <row r="482" spans="1:9" x14ac:dyDescent="0.3">
      <c r="A482" s="41">
        <v>45949</v>
      </c>
      <c r="B482" s="42">
        <v>0.80495370370370367</v>
      </c>
      <c r="C482" t="s">
        <v>221</v>
      </c>
      <c r="D482" t="s">
        <v>42</v>
      </c>
      <c r="E482" t="s">
        <v>316</v>
      </c>
      <c r="F482" t="s">
        <v>359</v>
      </c>
      <c r="G482">
        <v>-2402000</v>
      </c>
      <c r="H482" t="s">
        <v>220</v>
      </c>
      <c r="I482" t="s">
        <v>64</v>
      </c>
    </row>
    <row r="483" spans="1:9" x14ac:dyDescent="0.3">
      <c r="A483" s="41">
        <v>45949</v>
      </c>
      <c r="B483" s="42">
        <v>0.80391203703703706</v>
      </c>
      <c r="C483" t="s">
        <v>218</v>
      </c>
      <c r="D483" t="s">
        <v>229</v>
      </c>
      <c r="E483" t="s">
        <v>31</v>
      </c>
      <c r="F483" t="s">
        <v>7</v>
      </c>
      <c r="G483">
        <v>2400000</v>
      </c>
      <c r="H483" t="s">
        <v>220</v>
      </c>
      <c r="I483" t="s">
        <v>64</v>
      </c>
    </row>
    <row r="484" spans="1:9" x14ac:dyDescent="0.3">
      <c r="A484" s="41">
        <v>45949</v>
      </c>
      <c r="B484" s="42">
        <v>0.57201388888888893</v>
      </c>
      <c r="C484" t="s">
        <v>221</v>
      </c>
      <c r="D484" t="s">
        <v>39</v>
      </c>
      <c r="E484" t="s">
        <v>245</v>
      </c>
      <c r="F484" t="s">
        <v>267</v>
      </c>
      <c r="G484">
        <v>-20</v>
      </c>
      <c r="H484" t="s">
        <v>220</v>
      </c>
      <c r="I484" t="s">
        <v>268</v>
      </c>
    </row>
    <row r="485" spans="1:9" x14ac:dyDescent="0.3">
      <c r="A485" s="41">
        <v>45949</v>
      </c>
      <c r="B485" s="42">
        <v>0.54324074074074069</v>
      </c>
      <c r="C485" t="s">
        <v>221</v>
      </c>
      <c r="D485" t="s">
        <v>42</v>
      </c>
      <c r="E485" t="s">
        <v>316</v>
      </c>
      <c r="F485" t="s">
        <v>384</v>
      </c>
      <c r="G485">
        <v>-11364</v>
      </c>
      <c r="H485" t="s">
        <v>220</v>
      </c>
      <c r="I485" t="s">
        <v>247</v>
      </c>
    </row>
    <row r="486" spans="1:9" x14ac:dyDescent="0.3">
      <c r="A486" s="41">
        <v>45949</v>
      </c>
      <c r="B486" s="42">
        <v>0.52241898148148147</v>
      </c>
      <c r="C486" t="s">
        <v>218</v>
      </c>
      <c r="D486" t="s">
        <v>218</v>
      </c>
      <c r="E486" t="s">
        <v>31</v>
      </c>
      <c r="F486" t="s">
        <v>363</v>
      </c>
      <c r="G486">
        <v>-10000</v>
      </c>
      <c r="H486" t="s">
        <v>220</v>
      </c>
      <c r="I486" t="s">
        <v>362</v>
      </c>
    </row>
    <row r="487" spans="1:9" x14ac:dyDescent="0.3">
      <c r="A487" s="41">
        <v>45949</v>
      </c>
      <c r="B487" s="42">
        <v>0.44809027777777782</v>
      </c>
      <c r="C487" t="s">
        <v>218</v>
      </c>
      <c r="D487" t="s">
        <v>229</v>
      </c>
      <c r="E487" t="s">
        <v>31</v>
      </c>
      <c r="F487" t="s">
        <v>363</v>
      </c>
      <c r="G487">
        <v>10000</v>
      </c>
      <c r="H487" t="s">
        <v>220</v>
      </c>
      <c r="I487" t="s">
        <v>362</v>
      </c>
    </row>
    <row r="488" spans="1:9" x14ac:dyDescent="0.3">
      <c r="A488" s="41">
        <v>45949</v>
      </c>
      <c r="B488" s="42">
        <v>0.40311342592592592</v>
      </c>
      <c r="C488" t="s">
        <v>218</v>
      </c>
      <c r="D488" t="s">
        <v>229</v>
      </c>
      <c r="E488" t="s">
        <v>31</v>
      </c>
      <c r="F488" t="s">
        <v>7</v>
      </c>
      <c r="G488">
        <v>-6000000</v>
      </c>
      <c r="H488" t="s">
        <v>220</v>
      </c>
      <c r="I488" t="s">
        <v>57</v>
      </c>
    </row>
    <row r="489" spans="1:9" x14ac:dyDescent="0.3">
      <c r="A489" s="41">
        <v>45948</v>
      </c>
      <c r="B489" s="42">
        <v>0.81019675925925927</v>
      </c>
      <c r="C489" t="s">
        <v>221</v>
      </c>
      <c r="D489" t="s">
        <v>39</v>
      </c>
      <c r="E489" t="s">
        <v>245</v>
      </c>
      <c r="F489" t="s">
        <v>246</v>
      </c>
      <c r="G489">
        <v>-5000</v>
      </c>
      <c r="H489" t="s">
        <v>220</v>
      </c>
      <c r="I489" t="s">
        <v>247</v>
      </c>
    </row>
    <row r="490" spans="1:9" x14ac:dyDescent="0.3">
      <c r="A490" s="41">
        <v>45947</v>
      </c>
      <c r="B490" s="42">
        <v>0.79173611111111108</v>
      </c>
      <c r="C490" t="s">
        <v>218</v>
      </c>
      <c r="D490" t="s">
        <v>229</v>
      </c>
      <c r="E490" t="s">
        <v>31</v>
      </c>
      <c r="F490" t="s">
        <v>7</v>
      </c>
      <c r="G490">
        <v>-500000</v>
      </c>
      <c r="H490" t="s">
        <v>220</v>
      </c>
      <c r="I490" t="s">
        <v>57</v>
      </c>
    </row>
    <row r="491" spans="1:9" x14ac:dyDescent="0.3">
      <c r="A491" s="41">
        <v>45947</v>
      </c>
      <c r="B491" s="42">
        <v>0.79172453703703705</v>
      </c>
      <c r="C491" t="s">
        <v>218</v>
      </c>
      <c r="D491" t="s">
        <v>229</v>
      </c>
      <c r="E491" t="s">
        <v>31</v>
      </c>
      <c r="F491" t="s">
        <v>7</v>
      </c>
      <c r="G491">
        <v>-2000000</v>
      </c>
      <c r="H491" t="s">
        <v>220</v>
      </c>
      <c r="I491" t="s">
        <v>57</v>
      </c>
    </row>
    <row r="492" spans="1:9" x14ac:dyDescent="0.3">
      <c r="A492" s="41">
        <v>45947</v>
      </c>
      <c r="B492" s="42">
        <v>0.41173611111111108</v>
      </c>
      <c r="C492" t="s">
        <v>233</v>
      </c>
      <c r="D492" t="s">
        <v>29</v>
      </c>
      <c r="E492" t="s">
        <v>31</v>
      </c>
      <c r="F492" t="s">
        <v>385</v>
      </c>
      <c r="G492">
        <v>2896180</v>
      </c>
      <c r="H492" t="s">
        <v>220</v>
      </c>
      <c r="I492" t="s">
        <v>57</v>
      </c>
    </row>
    <row r="493" spans="1:9" x14ac:dyDescent="0.3">
      <c r="A493" s="41">
        <v>45944</v>
      </c>
      <c r="B493" s="42">
        <v>0.86086805555555557</v>
      </c>
      <c r="C493" t="s">
        <v>221</v>
      </c>
      <c r="D493" t="s">
        <v>42</v>
      </c>
      <c r="E493" t="s">
        <v>386</v>
      </c>
      <c r="F493" t="s">
        <v>387</v>
      </c>
      <c r="G493">
        <v>-323</v>
      </c>
      <c r="H493" t="s">
        <v>220</v>
      </c>
      <c r="I493" t="s">
        <v>228</v>
      </c>
    </row>
    <row r="494" spans="1:9" x14ac:dyDescent="0.3">
      <c r="A494" s="41">
        <v>45944</v>
      </c>
      <c r="B494" s="42">
        <v>0.86086805555555557</v>
      </c>
      <c r="C494" t="s">
        <v>221</v>
      </c>
      <c r="D494" t="s">
        <v>42</v>
      </c>
      <c r="E494" t="s">
        <v>386</v>
      </c>
      <c r="F494" t="s">
        <v>388</v>
      </c>
      <c r="G494">
        <v>-323</v>
      </c>
      <c r="H494" t="s">
        <v>220</v>
      </c>
      <c r="I494" t="s">
        <v>225</v>
      </c>
    </row>
    <row r="495" spans="1:9" x14ac:dyDescent="0.3">
      <c r="A495" s="41">
        <v>45942</v>
      </c>
      <c r="B495" s="42">
        <v>0.59133101851851855</v>
      </c>
      <c r="C495" t="s">
        <v>221</v>
      </c>
      <c r="D495" t="s">
        <v>42</v>
      </c>
      <c r="E495" t="s">
        <v>316</v>
      </c>
      <c r="F495" t="s">
        <v>389</v>
      </c>
      <c r="G495">
        <v>-20950</v>
      </c>
      <c r="H495" t="s">
        <v>220</v>
      </c>
      <c r="I495" t="s">
        <v>225</v>
      </c>
    </row>
    <row r="496" spans="1:9" x14ac:dyDescent="0.3">
      <c r="A496" s="41">
        <v>45941</v>
      </c>
      <c r="B496" s="42">
        <v>0.81138888888888894</v>
      </c>
      <c r="C496" t="s">
        <v>221</v>
      </c>
      <c r="D496" t="s">
        <v>42</v>
      </c>
      <c r="E496" t="s">
        <v>222</v>
      </c>
      <c r="F496" t="s">
        <v>390</v>
      </c>
      <c r="G496">
        <v>-300</v>
      </c>
      <c r="H496" t="s">
        <v>220</v>
      </c>
      <c r="I496" t="s">
        <v>225</v>
      </c>
    </row>
    <row r="497" spans="1:9" x14ac:dyDescent="0.3">
      <c r="A497" s="41">
        <v>45941</v>
      </c>
      <c r="B497" s="42">
        <v>0.51165509259259256</v>
      </c>
      <c r="C497" t="s">
        <v>221</v>
      </c>
      <c r="D497" t="s">
        <v>42</v>
      </c>
      <c r="E497" t="s">
        <v>222</v>
      </c>
      <c r="F497" t="s">
        <v>391</v>
      </c>
      <c r="G497">
        <v>-130</v>
      </c>
      <c r="H497" t="s">
        <v>220</v>
      </c>
      <c r="I497" t="s">
        <v>225</v>
      </c>
    </row>
    <row r="498" spans="1:9" x14ac:dyDescent="0.3">
      <c r="A498" s="41">
        <v>45941</v>
      </c>
      <c r="B498" s="42">
        <v>0.5087962962962963</v>
      </c>
      <c r="C498" t="s">
        <v>221</v>
      </c>
      <c r="D498" t="s">
        <v>39</v>
      </c>
      <c r="E498" t="s">
        <v>245</v>
      </c>
      <c r="F498" t="s">
        <v>246</v>
      </c>
      <c r="G498">
        <v>-3000</v>
      </c>
      <c r="H498" t="s">
        <v>220</v>
      </c>
      <c r="I498" t="s">
        <v>247</v>
      </c>
    </row>
    <row r="499" spans="1:9" x14ac:dyDescent="0.3">
      <c r="A499" s="41">
        <v>45940</v>
      </c>
      <c r="B499" s="42">
        <v>0.94377314814814817</v>
      </c>
      <c r="C499" t="s">
        <v>221</v>
      </c>
      <c r="D499" t="s">
        <v>42</v>
      </c>
      <c r="E499" t="s">
        <v>222</v>
      </c>
      <c r="F499" t="s">
        <v>390</v>
      </c>
      <c r="G499">
        <v>-550</v>
      </c>
      <c r="H499" t="s">
        <v>220</v>
      </c>
      <c r="I499" t="s">
        <v>225</v>
      </c>
    </row>
    <row r="500" spans="1:9" x14ac:dyDescent="0.3">
      <c r="A500" s="41">
        <v>45940</v>
      </c>
      <c r="B500" s="42">
        <v>0.44153935185185178</v>
      </c>
      <c r="C500" t="s">
        <v>221</v>
      </c>
      <c r="D500" t="s">
        <v>42</v>
      </c>
      <c r="E500" t="s">
        <v>222</v>
      </c>
      <c r="F500" t="s">
        <v>390</v>
      </c>
      <c r="G500">
        <v>-300</v>
      </c>
      <c r="H500" t="s">
        <v>220</v>
      </c>
      <c r="I500" t="s">
        <v>225</v>
      </c>
    </row>
    <row r="501" spans="1:9" x14ac:dyDescent="0.3">
      <c r="A501" s="41">
        <v>45939</v>
      </c>
      <c r="B501" s="42">
        <v>0.81347222222222226</v>
      </c>
      <c r="C501" t="s">
        <v>221</v>
      </c>
      <c r="D501" t="s">
        <v>42</v>
      </c>
      <c r="E501" t="s">
        <v>316</v>
      </c>
      <c r="F501" t="s">
        <v>389</v>
      </c>
      <c r="G501">
        <v>-13575</v>
      </c>
      <c r="H501" t="s">
        <v>220</v>
      </c>
      <c r="I501" t="s">
        <v>225</v>
      </c>
    </row>
    <row r="502" spans="1:9" x14ac:dyDescent="0.3">
      <c r="A502" s="41">
        <v>45939</v>
      </c>
      <c r="B502" s="42">
        <v>0.6022453703703704</v>
      </c>
      <c r="C502" t="s">
        <v>221</v>
      </c>
      <c r="D502" t="s">
        <v>42</v>
      </c>
      <c r="E502" t="s">
        <v>316</v>
      </c>
      <c r="F502" t="s">
        <v>389</v>
      </c>
      <c r="G502">
        <v>-6991</v>
      </c>
      <c r="H502" t="s">
        <v>220</v>
      </c>
      <c r="I502" t="s">
        <v>225</v>
      </c>
    </row>
    <row r="503" spans="1:9" x14ac:dyDescent="0.3">
      <c r="A503" s="41">
        <v>45938</v>
      </c>
      <c r="B503" s="42">
        <v>0.97729166666666667</v>
      </c>
      <c r="C503" t="s">
        <v>221</v>
      </c>
      <c r="D503" t="s">
        <v>42</v>
      </c>
      <c r="E503" t="s">
        <v>222</v>
      </c>
      <c r="F503" t="s">
        <v>392</v>
      </c>
      <c r="G503">
        <v>-3000</v>
      </c>
      <c r="H503" t="s">
        <v>220</v>
      </c>
      <c r="I503" t="s">
        <v>225</v>
      </c>
    </row>
    <row r="504" spans="1:9" x14ac:dyDescent="0.3">
      <c r="A504" s="41">
        <v>45938</v>
      </c>
      <c r="B504" s="42">
        <v>0.72717592592592595</v>
      </c>
      <c r="C504" t="s">
        <v>218</v>
      </c>
      <c r="D504" t="s">
        <v>238</v>
      </c>
      <c r="E504" t="s">
        <v>31</v>
      </c>
      <c r="F504" t="s">
        <v>393</v>
      </c>
      <c r="G504">
        <v>300000</v>
      </c>
      <c r="H504" t="s">
        <v>220</v>
      </c>
      <c r="I504" t="s">
        <v>57</v>
      </c>
    </row>
    <row r="505" spans="1:9" x14ac:dyDescent="0.3">
      <c r="A505" s="41">
        <v>45938</v>
      </c>
      <c r="B505" s="42">
        <v>0.45006944444444452</v>
      </c>
      <c r="C505" t="s">
        <v>221</v>
      </c>
      <c r="D505" t="s">
        <v>42</v>
      </c>
      <c r="E505" t="s">
        <v>316</v>
      </c>
      <c r="F505" t="s">
        <v>384</v>
      </c>
      <c r="G505">
        <v>-2000</v>
      </c>
      <c r="H505" t="s">
        <v>220</v>
      </c>
      <c r="I505" t="s">
        <v>247</v>
      </c>
    </row>
    <row r="506" spans="1:9" x14ac:dyDescent="0.3">
      <c r="A506" s="41">
        <v>45938</v>
      </c>
      <c r="B506" s="42">
        <v>0.4430324074074074</v>
      </c>
      <c r="C506" t="s">
        <v>221</v>
      </c>
      <c r="D506" t="s">
        <v>39</v>
      </c>
      <c r="E506" t="s">
        <v>245</v>
      </c>
      <c r="F506" t="s">
        <v>246</v>
      </c>
      <c r="G506">
        <v>-5000</v>
      </c>
      <c r="H506" t="s">
        <v>220</v>
      </c>
      <c r="I506" t="s">
        <v>247</v>
      </c>
    </row>
    <row r="507" spans="1:9" x14ac:dyDescent="0.3">
      <c r="A507" s="41">
        <v>45936</v>
      </c>
      <c r="B507" s="42">
        <v>0.45013888888888892</v>
      </c>
      <c r="C507" t="s">
        <v>221</v>
      </c>
      <c r="D507" t="s">
        <v>42</v>
      </c>
      <c r="E507" t="s">
        <v>222</v>
      </c>
      <c r="F507" t="s">
        <v>394</v>
      </c>
      <c r="G507">
        <v>-100</v>
      </c>
      <c r="H507" t="s">
        <v>220</v>
      </c>
      <c r="I507" t="s">
        <v>225</v>
      </c>
    </row>
    <row r="508" spans="1:9" x14ac:dyDescent="0.3">
      <c r="A508" s="41">
        <v>45935</v>
      </c>
      <c r="B508" s="42">
        <v>0.64568287037037042</v>
      </c>
      <c r="C508" t="s">
        <v>221</v>
      </c>
      <c r="D508" t="s">
        <v>42</v>
      </c>
      <c r="E508" t="s">
        <v>222</v>
      </c>
      <c r="F508" t="s">
        <v>395</v>
      </c>
      <c r="G508">
        <v>-1000</v>
      </c>
      <c r="H508" t="s">
        <v>220</v>
      </c>
      <c r="I508" t="s">
        <v>225</v>
      </c>
    </row>
    <row r="509" spans="1:9" x14ac:dyDescent="0.3">
      <c r="A509" s="41">
        <v>45933</v>
      </c>
      <c r="B509" s="42">
        <v>0.586400462962963</v>
      </c>
      <c r="C509" t="s">
        <v>218</v>
      </c>
      <c r="D509" t="s">
        <v>31</v>
      </c>
      <c r="E509" t="s">
        <v>31</v>
      </c>
      <c r="F509" t="s">
        <v>230</v>
      </c>
      <c r="G509">
        <v>250000</v>
      </c>
      <c r="H509" t="s">
        <v>220</v>
      </c>
      <c r="I509" t="s">
        <v>57</v>
      </c>
    </row>
    <row r="510" spans="1:9" x14ac:dyDescent="0.3">
      <c r="A510" s="41">
        <v>45932</v>
      </c>
      <c r="B510" s="42">
        <v>0.37703703703703711</v>
      </c>
      <c r="C510" t="s">
        <v>218</v>
      </c>
      <c r="D510" t="s">
        <v>328</v>
      </c>
      <c r="E510" t="s">
        <v>31</v>
      </c>
      <c r="F510" t="s">
        <v>357</v>
      </c>
      <c r="G510">
        <v>1675200</v>
      </c>
      <c r="H510" t="s">
        <v>220</v>
      </c>
      <c r="I510" t="s">
        <v>57</v>
      </c>
    </row>
    <row r="511" spans="1:9" x14ac:dyDescent="0.3">
      <c r="A511" s="41">
        <v>45931</v>
      </c>
      <c r="B511" s="42">
        <v>0.28854166666666659</v>
      </c>
      <c r="C511" t="s">
        <v>233</v>
      </c>
      <c r="D511" t="s">
        <v>28</v>
      </c>
      <c r="E511" t="s">
        <v>31</v>
      </c>
      <c r="F511" t="s">
        <v>234</v>
      </c>
      <c r="G511">
        <v>86</v>
      </c>
      <c r="H511" t="s">
        <v>220</v>
      </c>
      <c r="I511" t="s">
        <v>63</v>
      </c>
    </row>
    <row r="512" spans="1:9" x14ac:dyDescent="0.3">
      <c r="A512" s="41">
        <v>45931</v>
      </c>
      <c r="B512" s="42">
        <v>0.14000000000000001</v>
      </c>
      <c r="C512" t="s">
        <v>233</v>
      </c>
      <c r="D512" t="s">
        <v>28</v>
      </c>
      <c r="E512" t="s">
        <v>31</v>
      </c>
      <c r="F512" t="s">
        <v>235</v>
      </c>
      <c r="G512">
        <v>44</v>
      </c>
      <c r="H512" t="s">
        <v>220</v>
      </c>
      <c r="I512" t="s">
        <v>70</v>
      </c>
    </row>
    <row r="513" spans="1:9" x14ac:dyDescent="0.3">
      <c r="A513" s="41">
        <v>45931</v>
      </c>
      <c r="B513" s="42">
        <v>0.1285532407407407</v>
      </c>
      <c r="C513" t="s">
        <v>233</v>
      </c>
      <c r="D513" t="s">
        <v>28</v>
      </c>
      <c r="E513" t="s">
        <v>31</v>
      </c>
      <c r="F513" t="s">
        <v>236</v>
      </c>
      <c r="G513">
        <v>0</v>
      </c>
      <c r="H513" t="s">
        <v>220</v>
      </c>
      <c r="I513" t="s">
        <v>64</v>
      </c>
    </row>
    <row r="514" spans="1:9" x14ac:dyDescent="0.3">
      <c r="A514" s="41">
        <v>45930</v>
      </c>
      <c r="B514" s="42">
        <v>0.8681712962962963</v>
      </c>
      <c r="C514" t="s">
        <v>221</v>
      </c>
      <c r="D514" t="s">
        <v>45</v>
      </c>
      <c r="E514" t="s">
        <v>262</v>
      </c>
      <c r="F514" t="s">
        <v>263</v>
      </c>
      <c r="G514">
        <v>-11900</v>
      </c>
      <c r="H514" t="s">
        <v>220</v>
      </c>
      <c r="I514" t="s">
        <v>225</v>
      </c>
    </row>
    <row r="515" spans="1:9" x14ac:dyDescent="0.3">
      <c r="A515" s="41">
        <v>45930</v>
      </c>
      <c r="B515" s="42">
        <v>0.38197916666666659</v>
      </c>
      <c r="C515" t="s">
        <v>218</v>
      </c>
      <c r="D515" t="s">
        <v>328</v>
      </c>
      <c r="E515" t="s">
        <v>31</v>
      </c>
      <c r="F515" t="s">
        <v>357</v>
      </c>
      <c r="G515">
        <v>264560</v>
      </c>
      <c r="H515" t="s">
        <v>220</v>
      </c>
      <c r="I515" t="s">
        <v>56</v>
      </c>
    </row>
    <row r="516" spans="1:9" x14ac:dyDescent="0.3">
      <c r="A516" s="41">
        <v>45928</v>
      </c>
      <c r="B516" s="42">
        <v>0.41957175925925932</v>
      </c>
      <c r="C516" t="s">
        <v>218</v>
      </c>
      <c r="D516" t="s">
        <v>31</v>
      </c>
      <c r="E516" t="s">
        <v>31</v>
      </c>
      <c r="F516" t="s">
        <v>230</v>
      </c>
      <c r="G516">
        <v>10</v>
      </c>
      <c r="H516" t="s">
        <v>220</v>
      </c>
      <c r="I516" t="s">
        <v>58</v>
      </c>
    </row>
    <row r="517" spans="1:9" x14ac:dyDescent="0.3">
      <c r="A517" s="41">
        <v>45927</v>
      </c>
      <c r="B517" s="42">
        <v>0.80403935185185182</v>
      </c>
      <c r="C517" t="s">
        <v>221</v>
      </c>
      <c r="D517" t="s">
        <v>39</v>
      </c>
      <c r="E517" t="s">
        <v>245</v>
      </c>
      <c r="F517" t="s">
        <v>246</v>
      </c>
      <c r="G517">
        <v>-3000</v>
      </c>
      <c r="H517" t="s">
        <v>220</v>
      </c>
      <c r="I517" t="s">
        <v>278</v>
      </c>
    </row>
    <row r="518" spans="1:9" x14ac:dyDescent="0.3">
      <c r="A518" s="41">
        <v>45927</v>
      </c>
      <c r="B518" s="42">
        <v>0.1754050925925926</v>
      </c>
      <c r="C518" t="s">
        <v>233</v>
      </c>
      <c r="D518" t="s">
        <v>28</v>
      </c>
      <c r="E518" t="s">
        <v>31</v>
      </c>
      <c r="F518" t="s">
        <v>234</v>
      </c>
      <c r="G518">
        <v>0</v>
      </c>
      <c r="H518" t="s">
        <v>220</v>
      </c>
      <c r="I518" t="s">
        <v>66</v>
      </c>
    </row>
    <row r="519" spans="1:9" x14ac:dyDescent="0.3">
      <c r="A519" s="41">
        <v>45927</v>
      </c>
      <c r="B519" s="42">
        <v>0.1218402777777778</v>
      </c>
      <c r="C519" t="s">
        <v>233</v>
      </c>
      <c r="D519" t="s">
        <v>28</v>
      </c>
      <c r="E519" t="s">
        <v>31</v>
      </c>
      <c r="F519" t="s">
        <v>250</v>
      </c>
      <c r="G519">
        <v>0</v>
      </c>
      <c r="H519" t="s">
        <v>220</v>
      </c>
      <c r="I519" t="s">
        <v>71</v>
      </c>
    </row>
    <row r="520" spans="1:9" x14ac:dyDescent="0.3">
      <c r="A520" s="41">
        <v>45927</v>
      </c>
      <c r="B520" s="42">
        <v>0.1161689814814815</v>
      </c>
      <c r="C520" t="s">
        <v>218</v>
      </c>
      <c r="D520" t="s">
        <v>238</v>
      </c>
      <c r="E520" t="s">
        <v>31</v>
      </c>
      <c r="F520" t="s">
        <v>249</v>
      </c>
      <c r="G520">
        <v>0</v>
      </c>
      <c r="H520" t="s">
        <v>220</v>
      </c>
      <c r="I520" t="s">
        <v>65</v>
      </c>
    </row>
    <row r="521" spans="1:9" x14ac:dyDescent="0.3">
      <c r="A521" s="41">
        <v>45924</v>
      </c>
      <c r="B521" s="42">
        <v>0.74042824074074076</v>
      </c>
      <c r="C521" t="s">
        <v>221</v>
      </c>
      <c r="D521" t="s">
        <v>44</v>
      </c>
      <c r="E521" t="s">
        <v>240</v>
      </c>
      <c r="F521" t="s">
        <v>241</v>
      </c>
      <c r="G521">
        <v>-365370</v>
      </c>
      <c r="H521" t="s">
        <v>220</v>
      </c>
      <c r="I521" t="s">
        <v>242</v>
      </c>
    </row>
    <row r="522" spans="1:9" x14ac:dyDescent="0.3">
      <c r="A522" s="41">
        <v>45924</v>
      </c>
      <c r="B522" s="42">
        <v>0.49710648148148151</v>
      </c>
      <c r="C522" t="s">
        <v>221</v>
      </c>
      <c r="D522" t="s">
        <v>44</v>
      </c>
      <c r="E522" t="s">
        <v>243</v>
      </c>
      <c r="F522" t="s">
        <v>356</v>
      </c>
      <c r="G522">
        <v>-50</v>
      </c>
      <c r="H522" t="s">
        <v>220</v>
      </c>
      <c r="I522" t="s">
        <v>242</v>
      </c>
    </row>
    <row r="523" spans="1:9" x14ac:dyDescent="0.3">
      <c r="A523" s="41">
        <v>45922</v>
      </c>
      <c r="B523" s="42">
        <v>0.47842592592592592</v>
      </c>
      <c r="C523" t="s">
        <v>233</v>
      </c>
      <c r="D523" t="s">
        <v>28</v>
      </c>
      <c r="E523" t="s">
        <v>31</v>
      </c>
      <c r="F523" t="s">
        <v>258</v>
      </c>
      <c r="G523">
        <v>9200</v>
      </c>
      <c r="H523" t="s">
        <v>220</v>
      </c>
      <c r="I523" t="s">
        <v>56</v>
      </c>
    </row>
    <row r="524" spans="1:9" x14ac:dyDescent="0.3">
      <c r="A524" s="41">
        <v>45921</v>
      </c>
      <c r="B524" s="42">
        <v>0.39459490740740738</v>
      </c>
      <c r="C524" t="s">
        <v>233</v>
      </c>
      <c r="D524" t="s">
        <v>28</v>
      </c>
      <c r="E524" t="s">
        <v>31</v>
      </c>
      <c r="F524" t="s">
        <v>358</v>
      </c>
      <c r="G524">
        <v>21</v>
      </c>
      <c r="H524" t="s">
        <v>220</v>
      </c>
      <c r="I524" t="s">
        <v>55</v>
      </c>
    </row>
    <row r="525" spans="1:9" x14ac:dyDescent="0.3">
      <c r="A525" s="41">
        <v>45920</v>
      </c>
      <c r="B525" s="42">
        <v>0.51857638888888891</v>
      </c>
      <c r="C525" t="s">
        <v>221</v>
      </c>
      <c r="D525" t="s">
        <v>42</v>
      </c>
      <c r="E525" t="s">
        <v>222</v>
      </c>
      <c r="F525" t="s">
        <v>396</v>
      </c>
      <c r="G525">
        <v>-3000</v>
      </c>
      <c r="H525" t="s">
        <v>220</v>
      </c>
      <c r="I525" t="s">
        <v>242</v>
      </c>
    </row>
    <row r="526" spans="1:9" x14ac:dyDescent="0.3">
      <c r="A526" s="41">
        <v>45920</v>
      </c>
      <c r="B526" s="42">
        <v>0.41038194444444442</v>
      </c>
      <c r="C526" t="s">
        <v>233</v>
      </c>
      <c r="D526" t="s">
        <v>28</v>
      </c>
      <c r="E526" t="s">
        <v>31</v>
      </c>
      <c r="F526" t="s">
        <v>312</v>
      </c>
      <c r="G526">
        <v>0</v>
      </c>
      <c r="H526" t="s">
        <v>220</v>
      </c>
      <c r="I526" t="s">
        <v>59</v>
      </c>
    </row>
    <row r="527" spans="1:9" x14ac:dyDescent="0.3">
      <c r="A527" s="41">
        <v>45920</v>
      </c>
      <c r="B527" s="42">
        <v>0.20195601851851849</v>
      </c>
      <c r="C527" t="s">
        <v>218</v>
      </c>
      <c r="D527" t="s">
        <v>31</v>
      </c>
      <c r="E527" t="s">
        <v>31</v>
      </c>
      <c r="F527" t="s">
        <v>230</v>
      </c>
      <c r="G527">
        <v>0</v>
      </c>
      <c r="H527" t="s">
        <v>220</v>
      </c>
      <c r="I527" t="s">
        <v>68</v>
      </c>
    </row>
    <row r="528" spans="1:9" x14ac:dyDescent="0.3">
      <c r="A528" s="41">
        <v>45919</v>
      </c>
      <c r="B528" s="42">
        <v>0.39631944444444439</v>
      </c>
      <c r="C528" t="s">
        <v>221</v>
      </c>
      <c r="D528" t="s">
        <v>44</v>
      </c>
      <c r="E528" t="s">
        <v>243</v>
      </c>
      <c r="F528" t="s">
        <v>251</v>
      </c>
      <c r="G528">
        <v>-36390</v>
      </c>
      <c r="H528" t="s">
        <v>220</v>
      </c>
      <c r="I528" t="s">
        <v>242</v>
      </c>
    </row>
    <row r="529" spans="1:9" x14ac:dyDescent="0.3">
      <c r="A529" s="41">
        <v>45917</v>
      </c>
      <c r="B529" s="42">
        <v>0.79172453703703705</v>
      </c>
      <c r="C529" t="s">
        <v>218</v>
      </c>
      <c r="D529" t="s">
        <v>229</v>
      </c>
      <c r="E529" t="s">
        <v>31</v>
      </c>
      <c r="F529" t="s">
        <v>7</v>
      </c>
      <c r="G529">
        <v>-500000</v>
      </c>
      <c r="H529" t="s">
        <v>220</v>
      </c>
      <c r="I529" t="s">
        <v>57</v>
      </c>
    </row>
    <row r="530" spans="1:9" x14ac:dyDescent="0.3">
      <c r="A530" s="41">
        <v>45917</v>
      </c>
      <c r="B530" s="42">
        <v>0.79171296296296301</v>
      </c>
      <c r="C530" t="s">
        <v>218</v>
      </c>
      <c r="D530" t="s">
        <v>229</v>
      </c>
      <c r="E530" t="s">
        <v>31</v>
      </c>
      <c r="F530" t="s">
        <v>7</v>
      </c>
      <c r="G530">
        <v>-2000000</v>
      </c>
      <c r="H530" t="s">
        <v>220</v>
      </c>
      <c r="I530" t="s">
        <v>57</v>
      </c>
    </row>
    <row r="531" spans="1:9" x14ac:dyDescent="0.3">
      <c r="A531" s="41">
        <v>45917</v>
      </c>
      <c r="B531" s="42">
        <v>0.43913194444444442</v>
      </c>
      <c r="C531" t="s">
        <v>218</v>
      </c>
      <c r="D531" t="s">
        <v>238</v>
      </c>
      <c r="E531" t="s">
        <v>31</v>
      </c>
      <c r="F531" t="s">
        <v>323</v>
      </c>
      <c r="G531">
        <v>30000</v>
      </c>
      <c r="H531" t="s">
        <v>220</v>
      </c>
      <c r="I531" t="s">
        <v>57</v>
      </c>
    </row>
    <row r="532" spans="1:9" x14ac:dyDescent="0.3">
      <c r="A532" s="41">
        <v>45917</v>
      </c>
      <c r="B532" s="42">
        <v>0.39063657407407409</v>
      </c>
      <c r="C532" t="s">
        <v>218</v>
      </c>
      <c r="D532" t="s">
        <v>328</v>
      </c>
      <c r="E532" t="s">
        <v>31</v>
      </c>
      <c r="F532" t="s">
        <v>357</v>
      </c>
      <c r="G532">
        <v>2922780</v>
      </c>
      <c r="H532" t="s">
        <v>220</v>
      </c>
      <c r="I532" t="s">
        <v>57</v>
      </c>
    </row>
    <row r="533" spans="1:9" x14ac:dyDescent="0.3">
      <c r="A533" s="41">
        <v>45914</v>
      </c>
      <c r="B533" s="42">
        <v>0.52628472222222222</v>
      </c>
      <c r="C533" t="s">
        <v>233</v>
      </c>
      <c r="D533" t="s">
        <v>28</v>
      </c>
      <c r="E533" t="s">
        <v>31</v>
      </c>
      <c r="F533" t="s">
        <v>361</v>
      </c>
      <c r="G533">
        <v>24</v>
      </c>
      <c r="H533" t="s">
        <v>220</v>
      </c>
      <c r="I533" t="s">
        <v>69</v>
      </c>
    </row>
    <row r="534" spans="1:9" x14ac:dyDescent="0.3">
      <c r="A534" s="41">
        <v>45913</v>
      </c>
      <c r="B534" s="42">
        <v>0.93109953703703707</v>
      </c>
      <c r="C534" t="s">
        <v>221</v>
      </c>
      <c r="D534" t="s">
        <v>37</v>
      </c>
      <c r="E534" t="s">
        <v>255</v>
      </c>
      <c r="F534" t="s">
        <v>397</v>
      </c>
      <c r="G534">
        <v>-2670</v>
      </c>
      <c r="H534" t="s">
        <v>220</v>
      </c>
      <c r="I534" t="s">
        <v>225</v>
      </c>
    </row>
    <row r="535" spans="1:9" x14ac:dyDescent="0.3">
      <c r="A535" s="41">
        <v>45912</v>
      </c>
      <c r="B535" s="42">
        <v>0.28674768518518517</v>
      </c>
      <c r="C535" t="s">
        <v>221</v>
      </c>
      <c r="D535" t="s">
        <v>42</v>
      </c>
      <c r="E535" t="s">
        <v>222</v>
      </c>
      <c r="F535" t="s">
        <v>398</v>
      </c>
      <c r="G535">
        <v>-7900</v>
      </c>
      <c r="H535" t="s">
        <v>220</v>
      </c>
      <c r="I535" t="s">
        <v>225</v>
      </c>
    </row>
    <row r="536" spans="1:9" x14ac:dyDescent="0.3">
      <c r="A536" s="41">
        <v>45911</v>
      </c>
      <c r="B536" s="42">
        <v>0.28550925925925918</v>
      </c>
      <c r="C536" t="s">
        <v>221</v>
      </c>
      <c r="D536" t="s">
        <v>42</v>
      </c>
      <c r="E536" t="s">
        <v>222</v>
      </c>
      <c r="F536" t="s">
        <v>399</v>
      </c>
      <c r="G536">
        <v>-61868</v>
      </c>
      <c r="H536" t="s">
        <v>220</v>
      </c>
      <c r="I536" t="s">
        <v>247</v>
      </c>
    </row>
    <row r="537" spans="1:9" x14ac:dyDescent="0.3">
      <c r="A537" s="41">
        <v>45910</v>
      </c>
      <c r="B537" s="42">
        <v>0.29597222222222219</v>
      </c>
      <c r="C537" t="s">
        <v>221</v>
      </c>
      <c r="D537" t="s">
        <v>42</v>
      </c>
      <c r="E537" t="s">
        <v>222</v>
      </c>
      <c r="F537" t="s">
        <v>400</v>
      </c>
      <c r="G537">
        <v>-149100</v>
      </c>
      <c r="H537" t="s">
        <v>220</v>
      </c>
      <c r="I537" t="s">
        <v>401</v>
      </c>
    </row>
    <row r="538" spans="1:9" x14ac:dyDescent="0.3">
      <c r="A538" s="41">
        <v>45910</v>
      </c>
      <c r="B538" s="42">
        <v>0.29549768518518521</v>
      </c>
      <c r="C538" t="s">
        <v>218</v>
      </c>
      <c r="D538" t="s">
        <v>229</v>
      </c>
      <c r="E538" t="s">
        <v>31</v>
      </c>
      <c r="F538" t="s">
        <v>7</v>
      </c>
      <c r="G538">
        <v>150000</v>
      </c>
      <c r="H538" t="s">
        <v>220</v>
      </c>
      <c r="I538" t="s">
        <v>56</v>
      </c>
    </row>
    <row r="539" spans="1:9" x14ac:dyDescent="0.3">
      <c r="A539" s="41">
        <v>45910</v>
      </c>
      <c r="B539" s="42">
        <v>0.29549768518518521</v>
      </c>
      <c r="C539" t="s">
        <v>218</v>
      </c>
      <c r="D539" t="s">
        <v>229</v>
      </c>
      <c r="E539" t="s">
        <v>31</v>
      </c>
      <c r="F539" t="s">
        <v>7</v>
      </c>
      <c r="G539">
        <v>-150000</v>
      </c>
      <c r="H539" t="s">
        <v>220</v>
      </c>
      <c r="I539" t="s">
        <v>57</v>
      </c>
    </row>
    <row r="540" spans="1:9" x14ac:dyDescent="0.3">
      <c r="A540" s="41">
        <v>45909</v>
      </c>
      <c r="B540" s="42">
        <v>0.95665509259259263</v>
      </c>
      <c r="C540" t="s">
        <v>221</v>
      </c>
      <c r="D540" t="s">
        <v>42</v>
      </c>
      <c r="E540" t="s">
        <v>222</v>
      </c>
      <c r="F540" t="s">
        <v>402</v>
      </c>
      <c r="G540">
        <v>8210</v>
      </c>
      <c r="H540" t="s">
        <v>220</v>
      </c>
      <c r="I540" t="s">
        <v>225</v>
      </c>
    </row>
    <row r="541" spans="1:9" x14ac:dyDescent="0.3">
      <c r="A541" s="41">
        <v>45909</v>
      </c>
      <c r="B541" s="42">
        <v>0.28949074074074072</v>
      </c>
      <c r="C541" t="s">
        <v>221</v>
      </c>
      <c r="D541" t="s">
        <v>42</v>
      </c>
      <c r="E541" t="s">
        <v>222</v>
      </c>
      <c r="F541" t="s">
        <v>402</v>
      </c>
      <c r="G541">
        <v>-8210</v>
      </c>
      <c r="H541" t="s">
        <v>220</v>
      </c>
      <c r="I541" t="s">
        <v>225</v>
      </c>
    </row>
    <row r="542" spans="1:9" x14ac:dyDescent="0.3">
      <c r="A542" s="41">
        <v>45909</v>
      </c>
      <c r="B542" s="42">
        <v>0</v>
      </c>
      <c r="C542" t="s">
        <v>221</v>
      </c>
      <c r="D542" t="s">
        <v>42</v>
      </c>
      <c r="E542" t="s">
        <v>222</v>
      </c>
      <c r="F542" t="s">
        <v>403</v>
      </c>
      <c r="G542">
        <v>147900</v>
      </c>
      <c r="H542" t="s">
        <v>220</v>
      </c>
      <c r="I542" t="s">
        <v>278</v>
      </c>
    </row>
    <row r="543" spans="1:9" x14ac:dyDescent="0.3">
      <c r="A543" s="41">
        <v>45908</v>
      </c>
      <c r="B543" s="42">
        <v>0.34281250000000002</v>
      </c>
      <c r="C543" t="s">
        <v>221</v>
      </c>
      <c r="D543" t="s">
        <v>45</v>
      </c>
      <c r="E543" t="s">
        <v>262</v>
      </c>
      <c r="F543" t="s">
        <v>404</v>
      </c>
      <c r="G543">
        <v>147900</v>
      </c>
      <c r="H543" t="s">
        <v>220</v>
      </c>
      <c r="I543" t="s">
        <v>289</v>
      </c>
    </row>
    <row r="544" spans="1:9" x14ac:dyDescent="0.3">
      <c r="A544" s="41">
        <v>45906</v>
      </c>
      <c r="B544" s="42">
        <v>0.72582175925925929</v>
      </c>
      <c r="C544" t="s">
        <v>221</v>
      </c>
      <c r="D544" t="s">
        <v>42</v>
      </c>
      <c r="E544" t="s">
        <v>222</v>
      </c>
      <c r="F544" t="s">
        <v>403</v>
      </c>
      <c r="G544">
        <v>-147900</v>
      </c>
      <c r="H544" t="s">
        <v>220</v>
      </c>
      <c r="I544" t="s">
        <v>278</v>
      </c>
    </row>
    <row r="545" spans="1:9" x14ac:dyDescent="0.3">
      <c r="A545" s="41">
        <v>45906</v>
      </c>
      <c r="B545" s="42">
        <v>0.72571759259259261</v>
      </c>
      <c r="C545" t="s">
        <v>221</v>
      </c>
      <c r="D545" t="s">
        <v>45</v>
      </c>
      <c r="E545" t="s">
        <v>262</v>
      </c>
      <c r="F545" t="s">
        <v>404</v>
      </c>
      <c r="G545">
        <v>-147900</v>
      </c>
      <c r="H545" t="s">
        <v>220</v>
      </c>
      <c r="I545" t="s">
        <v>289</v>
      </c>
    </row>
    <row r="546" spans="1:9" x14ac:dyDescent="0.3">
      <c r="A546" s="41">
        <v>45903</v>
      </c>
      <c r="B546" s="42">
        <v>0.80002314814814812</v>
      </c>
      <c r="C546" t="s">
        <v>218</v>
      </c>
      <c r="D546" t="s">
        <v>252</v>
      </c>
      <c r="E546" t="s">
        <v>31</v>
      </c>
      <c r="F546" t="s">
        <v>253</v>
      </c>
      <c r="G546">
        <v>-3000</v>
      </c>
      <c r="H546" t="s">
        <v>220</v>
      </c>
      <c r="I546" t="s">
        <v>57</v>
      </c>
    </row>
    <row r="547" spans="1:9" x14ac:dyDescent="0.3">
      <c r="A547" s="41">
        <v>45901</v>
      </c>
      <c r="B547" s="42">
        <v>0.28690972222222222</v>
      </c>
      <c r="C547" t="s">
        <v>233</v>
      </c>
      <c r="D547" t="s">
        <v>28</v>
      </c>
      <c r="E547" t="s">
        <v>31</v>
      </c>
      <c r="F547" t="s">
        <v>234</v>
      </c>
      <c r="G547">
        <v>90</v>
      </c>
      <c r="H547" t="s">
        <v>220</v>
      </c>
      <c r="I547" t="s">
        <v>63</v>
      </c>
    </row>
    <row r="548" spans="1:9" x14ac:dyDescent="0.3">
      <c r="A548" s="41">
        <v>45901</v>
      </c>
      <c r="B548" s="42">
        <v>0.13570601851851849</v>
      </c>
      <c r="C548" t="s">
        <v>233</v>
      </c>
      <c r="D548" t="s">
        <v>28</v>
      </c>
      <c r="E548" t="s">
        <v>31</v>
      </c>
      <c r="F548" t="s">
        <v>235</v>
      </c>
      <c r="G548">
        <v>46</v>
      </c>
      <c r="H548" t="s">
        <v>220</v>
      </c>
      <c r="I548" t="s">
        <v>70</v>
      </c>
    </row>
    <row r="549" spans="1:9" x14ac:dyDescent="0.3">
      <c r="A549" s="41">
        <v>45901</v>
      </c>
      <c r="B549" s="42">
        <v>8.8738425925925929E-2</v>
      </c>
      <c r="C549" t="s">
        <v>233</v>
      </c>
      <c r="D549" t="s">
        <v>28</v>
      </c>
      <c r="E549" t="s">
        <v>31</v>
      </c>
      <c r="F549" t="s">
        <v>236</v>
      </c>
      <c r="G549">
        <v>0</v>
      </c>
      <c r="H549" t="s">
        <v>220</v>
      </c>
      <c r="I549" t="s">
        <v>64</v>
      </c>
    </row>
    <row r="550" spans="1:9" x14ac:dyDescent="0.3">
      <c r="A550" s="41">
        <v>45900</v>
      </c>
      <c r="B550" s="42">
        <v>0.54491898148148143</v>
      </c>
      <c r="C550" t="s">
        <v>218</v>
      </c>
      <c r="D550" t="s">
        <v>31</v>
      </c>
      <c r="E550" t="s">
        <v>31</v>
      </c>
      <c r="F550" t="s">
        <v>230</v>
      </c>
      <c r="G550">
        <v>250000</v>
      </c>
      <c r="H550" t="s">
        <v>220</v>
      </c>
      <c r="I550" t="s">
        <v>57</v>
      </c>
    </row>
    <row r="551" spans="1:9" x14ac:dyDescent="0.3">
      <c r="A551" s="41">
        <v>45898</v>
      </c>
      <c r="B551" s="42">
        <v>0.38</v>
      </c>
      <c r="C551" t="s">
        <v>218</v>
      </c>
      <c r="D551" t="s">
        <v>328</v>
      </c>
      <c r="E551" t="s">
        <v>31</v>
      </c>
      <c r="F551" t="s">
        <v>357</v>
      </c>
      <c r="G551">
        <v>11780</v>
      </c>
      <c r="H551" t="s">
        <v>220</v>
      </c>
      <c r="I551" t="s">
        <v>56</v>
      </c>
    </row>
    <row r="552" spans="1:9" x14ac:dyDescent="0.3">
      <c r="A552" s="41">
        <v>45897</v>
      </c>
      <c r="B552" s="42">
        <v>0.72802083333333334</v>
      </c>
      <c r="C552" t="s">
        <v>221</v>
      </c>
      <c r="D552" t="s">
        <v>40</v>
      </c>
      <c r="E552" t="s">
        <v>279</v>
      </c>
      <c r="F552" t="s">
        <v>405</v>
      </c>
      <c r="G552">
        <v>-27400</v>
      </c>
      <c r="H552" t="s">
        <v>220</v>
      </c>
      <c r="I552" t="s">
        <v>228</v>
      </c>
    </row>
    <row r="553" spans="1:9" x14ac:dyDescent="0.3">
      <c r="A553" s="41">
        <v>45895</v>
      </c>
      <c r="B553" s="42">
        <v>0.74440972222222224</v>
      </c>
      <c r="C553" t="s">
        <v>221</v>
      </c>
      <c r="D553" t="s">
        <v>44</v>
      </c>
      <c r="E553" t="s">
        <v>240</v>
      </c>
      <c r="F553" t="s">
        <v>241</v>
      </c>
      <c r="G553">
        <v>-284040</v>
      </c>
      <c r="H553" t="s">
        <v>220</v>
      </c>
      <c r="I553" t="s">
        <v>242</v>
      </c>
    </row>
    <row r="554" spans="1:9" x14ac:dyDescent="0.3">
      <c r="A554" s="41">
        <v>45894</v>
      </c>
      <c r="B554" s="42">
        <v>0.50670138888888894</v>
      </c>
      <c r="C554" t="s">
        <v>221</v>
      </c>
      <c r="D554" t="s">
        <v>44</v>
      </c>
      <c r="E554" t="s">
        <v>243</v>
      </c>
      <c r="F554" t="s">
        <v>356</v>
      </c>
      <c r="G554">
        <v>-100</v>
      </c>
      <c r="H554" t="s">
        <v>220</v>
      </c>
      <c r="I554" t="s">
        <v>242</v>
      </c>
    </row>
    <row r="555" spans="1:9" x14ac:dyDescent="0.3">
      <c r="A555" s="41">
        <v>45893</v>
      </c>
      <c r="B555" s="42">
        <v>0.86559027777777775</v>
      </c>
      <c r="C555" t="s">
        <v>221</v>
      </c>
      <c r="D555" t="s">
        <v>42</v>
      </c>
      <c r="E555" t="s">
        <v>223</v>
      </c>
      <c r="F555" t="s">
        <v>406</v>
      </c>
      <c r="G555">
        <v>-1430</v>
      </c>
      <c r="H555" t="s">
        <v>220</v>
      </c>
      <c r="I555" t="s">
        <v>225</v>
      </c>
    </row>
    <row r="556" spans="1:9" x14ac:dyDescent="0.3">
      <c r="A556" s="41">
        <v>45892</v>
      </c>
      <c r="B556" s="42">
        <v>0.17181712962962961</v>
      </c>
      <c r="C556" t="s">
        <v>233</v>
      </c>
      <c r="D556" t="s">
        <v>28</v>
      </c>
      <c r="E556" t="s">
        <v>31</v>
      </c>
      <c r="F556" t="s">
        <v>234</v>
      </c>
      <c r="G556">
        <v>0</v>
      </c>
      <c r="H556" t="s">
        <v>220</v>
      </c>
      <c r="I556" t="s">
        <v>66</v>
      </c>
    </row>
    <row r="557" spans="1:9" x14ac:dyDescent="0.3">
      <c r="A557" s="41">
        <v>45892</v>
      </c>
      <c r="B557" s="42">
        <v>0.12869212962962959</v>
      </c>
      <c r="C557" t="s">
        <v>233</v>
      </c>
      <c r="D557" t="s">
        <v>28</v>
      </c>
      <c r="E557" t="s">
        <v>31</v>
      </c>
      <c r="F557" t="s">
        <v>250</v>
      </c>
      <c r="G557">
        <v>0</v>
      </c>
      <c r="H557" t="s">
        <v>220</v>
      </c>
      <c r="I557" t="s">
        <v>71</v>
      </c>
    </row>
    <row r="558" spans="1:9" x14ac:dyDescent="0.3">
      <c r="A558" s="41">
        <v>45892</v>
      </c>
      <c r="B558" s="42">
        <v>0.1173726851851852</v>
      </c>
      <c r="C558" t="s">
        <v>218</v>
      </c>
      <c r="D558" t="s">
        <v>238</v>
      </c>
      <c r="E558" t="s">
        <v>31</v>
      </c>
      <c r="F558" t="s">
        <v>249</v>
      </c>
      <c r="G558">
        <v>0</v>
      </c>
      <c r="H558" t="s">
        <v>220</v>
      </c>
      <c r="I558" t="s">
        <v>65</v>
      </c>
    </row>
    <row r="559" spans="1:9" x14ac:dyDescent="0.3">
      <c r="A559" s="41">
        <v>45888</v>
      </c>
      <c r="B559" s="42">
        <v>0.43011574074074072</v>
      </c>
      <c r="C559" t="s">
        <v>221</v>
      </c>
      <c r="D559" t="s">
        <v>42</v>
      </c>
      <c r="E559" t="s">
        <v>222</v>
      </c>
      <c r="F559" t="s">
        <v>407</v>
      </c>
      <c r="G559">
        <v>-27400</v>
      </c>
      <c r="H559" t="s">
        <v>220</v>
      </c>
      <c r="I559" t="s">
        <v>278</v>
      </c>
    </row>
    <row r="560" spans="1:9" x14ac:dyDescent="0.3">
      <c r="A560" s="41">
        <v>45888</v>
      </c>
      <c r="B560" s="42">
        <v>0.42554398148148148</v>
      </c>
      <c r="C560" t="s">
        <v>221</v>
      </c>
      <c r="D560" t="s">
        <v>42</v>
      </c>
      <c r="E560" t="s">
        <v>222</v>
      </c>
      <c r="F560" t="s">
        <v>392</v>
      </c>
      <c r="G560">
        <v>-3000</v>
      </c>
      <c r="H560" t="s">
        <v>220</v>
      </c>
      <c r="I560" t="s">
        <v>225</v>
      </c>
    </row>
    <row r="561" spans="1:9" x14ac:dyDescent="0.3">
      <c r="A561" s="41">
        <v>45888</v>
      </c>
      <c r="B561" s="42">
        <v>0.36984953703703699</v>
      </c>
      <c r="C561" t="s">
        <v>221</v>
      </c>
      <c r="D561" t="s">
        <v>44</v>
      </c>
      <c r="E561" t="s">
        <v>243</v>
      </c>
      <c r="F561" t="s">
        <v>251</v>
      </c>
      <c r="G561">
        <v>-36390</v>
      </c>
      <c r="H561" t="s">
        <v>220</v>
      </c>
      <c r="I561" t="s">
        <v>242</v>
      </c>
    </row>
    <row r="562" spans="1:9" x14ac:dyDescent="0.3">
      <c r="A562" s="41">
        <v>45886</v>
      </c>
      <c r="B562" s="42">
        <v>0.79172453703703705</v>
      </c>
      <c r="C562" t="s">
        <v>218</v>
      </c>
      <c r="D562" t="s">
        <v>229</v>
      </c>
      <c r="E562" t="s">
        <v>31</v>
      </c>
      <c r="F562" t="s">
        <v>7</v>
      </c>
      <c r="G562">
        <v>-500000</v>
      </c>
      <c r="H562" t="s">
        <v>220</v>
      </c>
      <c r="I562" t="s">
        <v>57</v>
      </c>
    </row>
    <row r="563" spans="1:9" x14ac:dyDescent="0.3">
      <c r="A563" s="41">
        <v>45886</v>
      </c>
      <c r="B563" s="42">
        <v>0.79171296296296301</v>
      </c>
      <c r="C563" t="s">
        <v>218</v>
      </c>
      <c r="D563" t="s">
        <v>229</v>
      </c>
      <c r="E563" t="s">
        <v>31</v>
      </c>
      <c r="F563" t="s">
        <v>7</v>
      </c>
      <c r="G563">
        <v>-2000000</v>
      </c>
      <c r="H563" t="s">
        <v>220</v>
      </c>
      <c r="I563" t="s">
        <v>57</v>
      </c>
    </row>
    <row r="564" spans="1:9" x14ac:dyDescent="0.3">
      <c r="A564" s="41">
        <v>45883</v>
      </c>
      <c r="B564" s="42">
        <v>0.70163194444444443</v>
      </c>
      <c r="C564" t="s">
        <v>233</v>
      </c>
      <c r="D564" t="s">
        <v>28</v>
      </c>
      <c r="E564" t="s">
        <v>31</v>
      </c>
      <c r="F564" t="s">
        <v>329</v>
      </c>
      <c r="G564">
        <v>24470</v>
      </c>
      <c r="H564" t="s">
        <v>220</v>
      </c>
      <c r="I564" t="s">
        <v>56</v>
      </c>
    </row>
    <row r="565" spans="1:9" x14ac:dyDescent="0.3">
      <c r="A565" s="41">
        <v>45883</v>
      </c>
      <c r="B565" s="42">
        <v>0.50446759259259255</v>
      </c>
      <c r="C565" t="s">
        <v>218</v>
      </c>
      <c r="D565" t="s">
        <v>218</v>
      </c>
      <c r="E565" t="s">
        <v>31</v>
      </c>
      <c r="F565" t="s">
        <v>339</v>
      </c>
      <c r="G565">
        <v>-3000</v>
      </c>
      <c r="H565" t="s">
        <v>220</v>
      </c>
      <c r="I565" t="s">
        <v>57</v>
      </c>
    </row>
    <row r="566" spans="1:9" x14ac:dyDescent="0.3">
      <c r="A566" s="41">
        <v>45883</v>
      </c>
      <c r="B566" s="42">
        <v>0.38688657407407412</v>
      </c>
      <c r="C566" t="s">
        <v>233</v>
      </c>
      <c r="D566" t="s">
        <v>29</v>
      </c>
      <c r="E566" t="s">
        <v>31</v>
      </c>
      <c r="F566" t="s">
        <v>408</v>
      </c>
      <c r="G566">
        <v>2972420</v>
      </c>
      <c r="H566" t="s">
        <v>220</v>
      </c>
      <c r="I566" t="s">
        <v>57</v>
      </c>
    </row>
    <row r="567" spans="1:9" x14ac:dyDescent="0.3">
      <c r="A567" s="41">
        <v>45882</v>
      </c>
      <c r="B567" s="42">
        <v>0.58833333333333337</v>
      </c>
      <c r="C567" t="s">
        <v>221</v>
      </c>
      <c r="D567" t="s">
        <v>42</v>
      </c>
      <c r="E567" t="s">
        <v>222</v>
      </c>
      <c r="F567" t="s">
        <v>394</v>
      </c>
      <c r="G567">
        <v>-100</v>
      </c>
      <c r="H567" t="s">
        <v>220</v>
      </c>
      <c r="I567" t="s">
        <v>225</v>
      </c>
    </row>
    <row r="568" spans="1:9" x14ac:dyDescent="0.3">
      <c r="A568" s="41">
        <v>45880</v>
      </c>
      <c r="B568" s="42">
        <v>0.41427083333333331</v>
      </c>
      <c r="C568" t="s">
        <v>218</v>
      </c>
      <c r="D568" t="s">
        <v>218</v>
      </c>
      <c r="E568" t="s">
        <v>31</v>
      </c>
      <c r="F568" t="s">
        <v>409</v>
      </c>
      <c r="G568">
        <v>10934</v>
      </c>
      <c r="H568" t="s">
        <v>220</v>
      </c>
      <c r="I568" t="s">
        <v>57</v>
      </c>
    </row>
    <row r="569" spans="1:9" x14ac:dyDescent="0.3">
      <c r="A569" s="41">
        <v>45878</v>
      </c>
      <c r="B569" s="42">
        <v>0.81586805555555553</v>
      </c>
      <c r="C569" t="s">
        <v>221</v>
      </c>
      <c r="D569" t="s">
        <v>42</v>
      </c>
      <c r="E569" t="s">
        <v>316</v>
      </c>
      <c r="F569" t="s">
        <v>389</v>
      </c>
      <c r="G569">
        <v>-4225</v>
      </c>
      <c r="H569" t="s">
        <v>220</v>
      </c>
      <c r="I569" t="s">
        <v>225</v>
      </c>
    </row>
    <row r="570" spans="1:9" x14ac:dyDescent="0.3">
      <c r="A570" s="41">
        <v>45878</v>
      </c>
      <c r="B570" s="42">
        <v>3.8368055555555558E-2</v>
      </c>
      <c r="C570" t="s">
        <v>218</v>
      </c>
      <c r="D570" t="s">
        <v>31</v>
      </c>
      <c r="E570" t="s">
        <v>31</v>
      </c>
      <c r="F570" t="s">
        <v>230</v>
      </c>
      <c r="G570">
        <v>481</v>
      </c>
      <c r="H570" t="s">
        <v>220</v>
      </c>
      <c r="I570" t="s">
        <v>57</v>
      </c>
    </row>
    <row r="571" spans="1:9" x14ac:dyDescent="0.3">
      <c r="A571" s="41">
        <v>45878</v>
      </c>
      <c r="B571" s="42">
        <v>3.5277777777777783E-2</v>
      </c>
      <c r="C571" t="s">
        <v>218</v>
      </c>
      <c r="D571" t="s">
        <v>31</v>
      </c>
      <c r="E571" t="s">
        <v>31</v>
      </c>
      <c r="F571" t="s">
        <v>230</v>
      </c>
      <c r="G571">
        <v>85</v>
      </c>
      <c r="H571" t="s">
        <v>220</v>
      </c>
      <c r="I571" t="s">
        <v>56</v>
      </c>
    </row>
    <row r="572" spans="1:9" x14ac:dyDescent="0.3">
      <c r="A572" s="41">
        <v>45877</v>
      </c>
      <c r="B572" s="42">
        <v>0.33225694444444442</v>
      </c>
      <c r="C572" t="s">
        <v>221</v>
      </c>
      <c r="D572" t="s">
        <v>35</v>
      </c>
      <c r="E572" t="s">
        <v>410</v>
      </c>
      <c r="F572" t="s">
        <v>411</v>
      </c>
      <c r="G572">
        <v>-50000</v>
      </c>
      <c r="H572" t="s">
        <v>220</v>
      </c>
      <c r="I572" t="s">
        <v>247</v>
      </c>
    </row>
    <row r="573" spans="1:9" x14ac:dyDescent="0.3">
      <c r="A573" s="41">
        <v>45877</v>
      </c>
      <c r="B573" s="42">
        <v>0.26596064814814813</v>
      </c>
      <c r="C573" t="s">
        <v>221</v>
      </c>
      <c r="D573" t="s">
        <v>35</v>
      </c>
      <c r="E573" t="s">
        <v>410</v>
      </c>
      <c r="F573" t="s">
        <v>412</v>
      </c>
      <c r="G573">
        <v>-3000</v>
      </c>
      <c r="H573" t="s">
        <v>220</v>
      </c>
      <c r="I573" t="s">
        <v>247</v>
      </c>
    </row>
    <row r="574" spans="1:9" x14ac:dyDescent="0.3">
      <c r="A574" s="41">
        <v>45876</v>
      </c>
      <c r="B574" s="42">
        <v>0.58658564814814818</v>
      </c>
      <c r="C574" t="s">
        <v>221</v>
      </c>
      <c r="D574" t="s">
        <v>42</v>
      </c>
      <c r="E574" t="s">
        <v>386</v>
      </c>
      <c r="F574" t="s">
        <v>387</v>
      </c>
      <c r="G574">
        <v>-3910</v>
      </c>
      <c r="H574" t="s">
        <v>220</v>
      </c>
      <c r="I574" t="s">
        <v>278</v>
      </c>
    </row>
    <row r="575" spans="1:9" x14ac:dyDescent="0.3">
      <c r="A575" s="41">
        <v>45875</v>
      </c>
      <c r="B575" s="42">
        <v>0.90001157407407406</v>
      </c>
      <c r="C575" t="s">
        <v>221</v>
      </c>
      <c r="D575" t="s">
        <v>42</v>
      </c>
      <c r="E575" t="s">
        <v>222</v>
      </c>
      <c r="F575" t="s">
        <v>313</v>
      </c>
      <c r="G575">
        <v>-7870</v>
      </c>
      <c r="H575" t="s">
        <v>220</v>
      </c>
      <c r="I575" t="s">
        <v>268</v>
      </c>
    </row>
    <row r="576" spans="1:9" x14ac:dyDescent="0.3">
      <c r="A576" s="41">
        <v>45875</v>
      </c>
      <c r="B576" s="42">
        <v>0.89921296296296294</v>
      </c>
      <c r="C576" t="s">
        <v>221</v>
      </c>
      <c r="D576" t="s">
        <v>42</v>
      </c>
      <c r="E576" t="s">
        <v>222</v>
      </c>
      <c r="F576" t="s">
        <v>413</v>
      </c>
      <c r="G576">
        <v>7870</v>
      </c>
      <c r="H576" t="s">
        <v>220</v>
      </c>
      <c r="I576" t="s">
        <v>225</v>
      </c>
    </row>
    <row r="577" spans="1:9" x14ac:dyDescent="0.3">
      <c r="A577" s="41">
        <v>45875</v>
      </c>
      <c r="B577" s="42">
        <v>0.89909722222222221</v>
      </c>
      <c r="C577" t="s">
        <v>221</v>
      </c>
      <c r="D577" t="s">
        <v>42</v>
      </c>
      <c r="E577" t="s">
        <v>222</v>
      </c>
      <c r="F577" t="s">
        <v>313</v>
      </c>
      <c r="G577">
        <v>7870</v>
      </c>
      <c r="H577" t="s">
        <v>220</v>
      </c>
      <c r="I577" t="s">
        <v>268</v>
      </c>
    </row>
    <row r="578" spans="1:9" x14ac:dyDescent="0.3">
      <c r="A578" s="41">
        <v>45875</v>
      </c>
      <c r="B578" s="42">
        <v>0.89736111111111116</v>
      </c>
      <c r="C578" t="s">
        <v>221</v>
      </c>
      <c r="D578" t="s">
        <v>42</v>
      </c>
      <c r="E578" t="s">
        <v>222</v>
      </c>
      <c r="F578" t="s">
        <v>413</v>
      </c>
      <c r="G578">
        <v>-7870</v>
      </c>
      <c r="H578" t="s">
        <v>220</v>
      </c>
      <c r="I578" t="s">
        <v>225</v>
      </c>
    </row>
    <row r="579" spans="1:9" x14ac:dyDescent="0.3">
      <c r="A579" s="41">
        <v>45875</v>
      </c>
      <c r="B579" s="42">
        <v>0.89734953703703701</v>
      </c>
      <c r="C579" t="s">
        <v>221</v>
      </c>
      <c r="D579" t="s">
        <v>42</v>
      </c>
      <c r="E579" t="s">
        <v>222</v>
      </c>
      <c r="F579" t="s">
        <v>313</v>
      </c>
      <c r="G579">
        <v>-7870</v>
      </c>
      <c r="H579" t="s">
        <v>220</v>
      </c>
      <c r="I579" t="s">
        <v>268</v>
      </c>
    </row>
    <row r="580" spans="1:9" x14ac:dyDescent="0.3">
      <c r="A580" s="41">
        <v>45870</v>
      </c>
      <c r="B580" s="42">
        <v>0.28437499999999999</v>
      </c>
      <c r="C580" t="s">
        <v>233</v>
      </c>
      <c r="D580" t="s">
        <v>28</v>
      </c>
      <c r="E580" t="s">
        <v>31</v>
      </c>
      <c r="F580" t="s">
        <v>234</v>
      </c>
      <c r="G580">
        <v>89</v>
      </c>
      <c r="H580" t="s">
        <v>220</v>
      </c>
      <c r="I580" t="s">
        <v>63</v>
      </c>
    </row>
    <row r="581" spans="1:9" x14ac:dyDescent="0.3">
      <c r="A581" s="41">
        <v>45870</v>
      </c>
      <c r="B581" s="42">
        <v>0.13488425925925929</v>
      </c>
      <c r="C581" t="s">
        <v>233</v>
      </c>
      <c r="D581" t="s">
        <v>28</v>
      </c>
      <c r="E581" t="s">
        <v>31</v>
      </c>
      <c r="F581" t="s">
        <v>235</v>
      </c>
      <c r="G581">
        <v>46</v>
      </c>
      <c r="H581" t="s">
        <v>220</v>
      </c>
      <c r="I581" t="s">
        <v>70</v>
      </c>
    </row>
    <row r="582" spans="1:9" x14ac:dyDescent="0.3">
      <c r="A582" s="41">
        <v>45870</v>
      </c>
      <c r="B582" s="42">
        <v>9.3842592592592589E-2</v>
      </c>
      <c r="C582" t="s">
        <v>233</v>
      </c>
      <c r="D582" t="s">
        <v>28</v>
      </c>
      <c r="E582" t="s">
        <v>31</v>
      </c>
      <c r="F582" t="s">
        <v>236</v>
      </c>
      <c r="G582">
        <v>0</v>
      </c>
      <c r="H582" t="s">
        <v>220</v>
      </c>
      <c r="I582" t="s">
        <v>64</v>
      </c>
    </row>
    <row r="583" spans="1:9" x14ac:dyDescent="0.3">
      <c r="A583" s="41">
        <v>45869</v>
      </c>
      <c r="B583" s="42">
        <v>0.85233796296296294</v>
      </c>
      <c r="C583" t="s">
        <v>218</v>
      </c>
      <c r="D583" t="s">
        <v>229</v>
      </c>
      <c r="E583" t="s">
        <v>31</v>
      </c>
      <c r="F583" t="s">
        <v>7</v>
      </c>
      <c r="G583">
        <v>-990000</v>
      </c>
      <c r="H583" t="s">
        <v>220</v>
      </c>
      <c r="I583" t="s">
        <v>57</v>
      </c>
    </row>
    <row r="584" spans="1:9" x14ac:dyDescent="0.3">
      <c r="A584" s="41">
        <v>45869</v>
      </c>
      <c r="B584" s="42">
        <v>0.83635416666666662</v>
      </c>
      <c r="C584" t="s">
        <v>218</v>
      </c>
      <c r="D584" t="s">
        <v>31</v>
      </c>
      <c r="E584" t="s">
        <v>31</v>
      </c>
      <c r="F584" t="s">
        <v>230</v>
      </c>
      <c r="G584">
        <v>250000</v>
      </c>
      <c r="H584" t="s">
        <v>220</v>
      </c>
      <c r="I584" t="s">
        <v>57</v>
      </c>
    </row>
    <row r="585" spans="1:9" x14ac:dyDescent="0.3">
      <c r="A585" s="41">
        <v>45869</v>
      </c>
      <c r="B585" s="42">
        <v>0.44538194444444451</v>
      </c>
      <c r="C585" t="s">
        <v>218</v>
      </c>
      <c r="D585" t="s">
        <v>229</v>
      </c>
      <c r="E585" t="s">
        <v>31</v>
      </c>
      <c r="F585" t="s">
        <v>7</v>
      </c>
      <c r="G585">
        <v>378410</v>
      </c>
      <c r="H585" t="s">
        <v>220</v>
      </c>
      <c r="I585" t="s">
        <v>57</v>
      </c>
    </row>
    <row r="586" spans="1:9" x14ac:dyDescent="0.3">
      <c r="A586" s="41">
        <v>45869</v>
      </c>
      <c r="B586" s="42">
        <v>0.44538194444444451</v>
      </c>
      <c r="C586" t="s">
        <v>218</v>
      </c>
      <c r="D586" t="s">
        <v>229</v>
      </c>
      <c r="E586" t="s">
        <v>31</v>
      </c>
      <c r="F586" t="s">
        <v>7</v>
      </c>
      <c r="G586">
        <v>-378410</v>
      </c>
      <c r="H586" t="s">
        <v>220</v>
      </c>
      <c r="I586" t="s">
        <v>56</v>
      </c>
    </row>
    <row r="587" spans="1:9" x14ac:dyDescent="0.3">
      <c r="A587" s="41">
        <v>45866</v>
      </c>
      <c r="B587" s="42">
        <v>0.59578703703703706</v>
      </c>
      <c r="C587" t="s">
        <v>233</v>
      </c>
      <c r="D587" t="s">
        <v>30</v>
      </c>
      <c r="E587" t="s">
        <v>31</v>
      </c>
      <c r="F587" t="s">
        <v>414</v>
      </c>
      <c r="G587">
        <v>1</v>
      </c>
      <c r="H587" t="s">
        <v>220</v>
      </c>
      <c r="I587" t="s">
        <v>64</v>
      </c>
    </row>
    <row r="588" spans="1:9" x14ac:dyDescent="0.3">
      <c r="A588" s="41">
        <v>45864</v>
      </c>
      <c r="B588" s="42">
        <v>0.1748726851851852</v>
      </c>
      <c r="C588" t="s">
        <v>233</v>
      </c>
      <c r="D588" t="s">
        <v>28</v>
      </c>
      <c r="E588" t="s">
        <v>31</v>
      </c>
      <c r="F588" t="s">
        <v>234</v>
      </c>
      <c r="G588">
        <v>0</v>
      </c>
      <c r="H588" t="s">
        <v>220</v>
      </c>
      <c r="I588" t="s">
        <v>66</v>
      </c>
    </row>
    <row r="589" spans="1:9" x14ac:dyDescent="0.3">
      <c r="A589" s="41">
        <v>45864</v>
      </c>
      <c r="B589" s="42">
        <v>0.1214930555555556</v>
      </c>
      <c r="C589" t="s">
        <v>218</v>
      </c>
      <c r="D589" t="s">
        <v>238</v>
      </c>
      <c r="E589" t="s">
        <v>31</v>
      </c>
      <c r="F589" t="s">
        <v>249</v>
      </c>
      <c r="G589">
        <v>0</v>
      </c>
      <c r="H589" t="s">
        <v>220</v>
      </c>
      <c r="I589" t="s">
        <v>65</v>
      </c>
    </row>
    <row r="590" spans="1:9" x14ac:dyDescent="0.3">
      <c r="A590" s="41">
        <v>45864</v>
      </c>
      <c r="B590" s="42">
        <v>0.1074884259259259</v>
      </c>
      <c r="C590" t="s">
        <v>233</v>
      </c>
      <c r="D590" t="s">
        <v>28</v>
      </c>
      <c r="E590" t="s">
        <v>31</v>
      </c>
      <c r="F590" t="s">
        <v>250</v>
      </c>
      <c r="G590">
        <v>0</v>
      </c>
      <c r="H590" t="s">
        <v>220</v>
      </c>
      <c r="I590" t="s">
        <v>71</v>
      </c>
    </row>
    <row r="591" spans="1:9" x14ac:dyDescent="0.3">
      <c r="A591" s="41">
        <v>45863</v>
      </c>
      <c r="B591" s="42">
        <v>0.74260416666666662</v>
      </c>
      <c r="C591" t="s">
        <v>221</v>
      </c>
      <c r="D591" t="s">
        <v>44</v>
      </c>
      <c r="E591" t="s">
        <v>240</v>
      </c>
      <c r="F591" t="s">
        <v>241</v>
      </c>
      <c r="G591">
        <v>-283890</v>
      </c>
      <c r="H591" t="s">
        <v>220</v>
      </c>
      <c r="I591" t="s">
        <v>242</v>
      </c>
    </row>
    <row r="592" spans="1:9" x14ac:dyDescent="0.3">
      <c r="A592" s="41">
        <v>45863</v>
      </c>
      <c r="B592" s="42">
        <v>0.46068287037037042</v>
      </c>
      <c r="C592" t="s">
        <v>221</v>
      </c>
      <c r="D592" t="s">
        <v>39</v>
      </c>
      <c r="E592" t="s">
        <v>245</v>
      </c>
      <c r="F592" t="s">
        <v>267</v>
      </c>
      <c r="G592">
        <v>0</v>
      </c>
      <c r="H592" t="s">
        <v>220</v>
      </c>
      <c r="I592" t="s">
        <v>268</v>
      </c>
    </row>
    <row r="593" spans="1:9" x14ac:dyDescent="0.3">
      <c r="A593" s="41">
        <v>45862</v>
      </c>
      <c r="B593" s="42">
        <v>0.49402777777777779</v>
      </c>
      <c r="C593" t="s">
        <v>221</v>
      </c>
      <c r="D593" t="s">
        <v>44</v>
      </c>
      <c r="E593" t="s">
        <v>243</v>
      </c>
      <c r="F593" t="s">
        <v>356</v>
      </c>
      <c r="G593">
        <v>-100</v>
      </c>
      <c r="H593" t="s">
        <v>220</v>
      </c>
      <c r="I593" t="s">
        <v>242</v>
      </c>
    </row>
    <row r="594" spans="1:9" x14ac:dyDescent="0.3">
      <c r="A594" s="41">
        <v>45859</v>
      </c>
      <c r="B594" s="42">
        <v>0.38332175925925932</v>
      </c>
      <c r="C594" t="s">
        <v>221</v>
      </c>
      <c r="D594" t="s">
        <v>44</v>
      </c>
      <c r="E594" t="s">
        <v>243</v>
      </c>
      <c r="F594" t="s">
        <v>251</v>
      </c>
      <c r="G594">
        <v>-36390</v>
      </c>
      <c r="H594" t="s">
        <v>220</v>
      </c>
      <c r="I594" t="s">
        <v>242</v>
      </c>
    </row>
    <row r="595" spans="1:9" x14ac:dyDescent="0.3">
      <c r="A595" s="41">
        <v>45855</v>
      </c>
      <c r="B595" s="42">
        <v>0.79939814814814814</v>
      </c>
      <c r="C595" t="s">
        <v>218</v>
      </c>
      <c r="D595" t="s">
        <v>252</v>
      </c>
      <c r="E595" t="s">
        <v>31</v>
      </c>
      <c r="F595" t="s">
        <v>415</v>
      </c>
      <c r="G595">
        <v>-180338</v>
      </c>
      <c r="H595" t="s">
        <v>220</v>
      </c>
      <c r="I595" t="s">
        <v>57</v>
      </c>
    </row>
    <row r="596" spans="1:9" x14ac:dyDescent="0.3">
      <c r="A596" s="41">
        <v>45855</v>
      </c>
      <c r="B596" s="42">
        <v>0.79171296296296301</v>
      </c>
      <c r="C596" t="s">
        <v>218</v>
      </c>
      <c r="D596" t="s">
        <v>229</v>
      </c>
      <c r="E596" t="s">
        <v>31</v>
      </c>
      <c r="F596" t="s">
        <v>7</v>
      </c>
      <c r="G596">
        <v>-500000</v>
      </c>
      <c r="H596" t="s">
        <v>220</v>
      </c>
      <c r="I596" t="s">
        <v>57</v>
      </c>
    </row>
    <row r="597" spans="1:9" x14ac:dyDescent="0.3">
      <c r="A597" s="41">
        <v>45855</v>
      </c>
      <c r="B597" s="42">
        <v>0.79171296296296301</v>
      </c>
      <c r="C597" t="s">
        <v>218</v>
      </c>
      <c r="D597" t="s">
        <v>229</v>
      </c>
      <c r="E597" t="s">
        <v>31</v>
      </c>
      <c r="F597" t="s">
        <v>7</v>
      </c>
      <c r="G597">
        <v>-2000000</v>
      </c>
      <c r="H597" t="s">
        <v>220</v>
      </c>
      <c r="I597" t="s">
        <v>57</v>
      </c>
    </row>
    <row r="598" spans="1:9" x14ac:dyDescent="0.3">
      <c r="A598" s="41">
        <v>45855</v>
      </c>
      <c r="B598" s="42">
        <v>0.72400462962962964</v>
      </c>
      <c r="C598" t="s">
        <v>218</v>
      </c>
      <c r="D598" t="s">
        <v>218</v>
      </c>
      <c r="E598" t="s">
        <v>31</v>
      </c>
      <c r="F598" t="s">
        <v>339</v>
      </c>
      <c r="G598">
        <v>-500000</v>
      </c>
      <c r="H598" t="s">
        <v>220</v>
      </c>
      <c r="I598" t="s">
        <v>61</v>
      </c>
    </row>
    <row r="599" spans="1:9" x14ac:dyDescent="0.3">
      <c r="A599" s="41">
        <v>45855</v>
      </c>
      <c r="B599" s="42">
        <v>0.60005787037037039</v>
      </c>
      <c r="C599" t="s">
        <v>218</v>
      </c>
      <c r="D599" t="s">
        <v>218</v>
      </c>
      <c r="E599" t="s">
        <v>31</v>
      </c>
      <c r="F599" t="s">
        <v>339</v>
      </c>
      <c r="G599">
        <v>500000</v>
      </c>
      <c r="H599" t="s">
        <v>220</v>
      </c>
      <c r="I599" t="s">
        <v>61</v>
      </c>
    </row>
    <row r="600" spans="1:9" x14ac:dyDescent="0.3">
      <c r="A600" s="41">
        <v>45855</v>
      </c>
      <c r="B600" s="42">
        <v>0.38734953703703712</v>
      </c>
      <c r="C600" t="s">
        <v>233</v>
      </c>
      <c r="D600" t="s">
        <v>29</v>
      </c>
      <c r="E600" t="s">
        <v>31</v>
      </c>
      <c r="F600" t="s">
        <v>416</v>
      </c>
      <c r="G600">
        <v>3437750</v>
      </c>
      <c r="H600" t="s">
        <v>220</v>
      </c>
      <c r="I600" t="s">
        <v>57</v>
      </c>
    </row>
    <row r="601" spans="1:9" x14ac:dyDescent="0.3">
      <c r="A601" s="41">
        <v>45854</v>
      </c>
      <c r="B601" s="42">
        <v>0.68885416666666666</v>
      </c>
      <c r="C601" t="s">
        <v>233</v>
      </c>
      <c r="D601" t="s">
        <v>28</v>
      </c>
      <c r="E601" t="s">
        <v>31</v>
      </c>
      <c r="F601" t="s">
        <v>258</v>
      </c>
      <c r="G601">
        <v>71430</v>
      </c>
      <c r="H601" t="s">
        <v>220</v>
      </c>
      <c r="I601" t="s">
        <v>56</v>
      </c>
    </row>
    <row r="602" spans="1:9" x14ac:dyDescent="0.3">
      <c r="A602" s="41">
        <v>45846</v>
      </c>
      <c r="B602" s="42">
        <v>0.71204861111111106</v>
      </c>
      <c r="C602" t="s">
        <v>221</v>
      </c>
      <c r="D602" t="s">
        <v>42</v>
      </c>
      <c r="E602" t="s">
        <v>222</v>
      </c>
      <c r="F602" t="s">
        <v>313</v>
      </c>
      <c r="G602">
        <v>0</v>
      </c>
      <c r="H602" t="s">
        <v>220</v>
      </c>
      <c r="I602" t="s">
        <v>268</v>
      </c>
    </row>
    <row r="603" spans="1:9" x14ac:dyDescent="0.3">
      <c r="A603" s="41">
        <v>45839</v>
      </c>
      <c r="B603" s="42">
        <v>0.28870370370370368</v>
      </c>
      <c r="C603" t="s">
        <v>233</v>
      </c>
      <c r="D603" t="s">
        <v>28</v>
      </c>
      <c r="E603" t="s">
        <v>31</v>
      </c>
      <c r="F603" t="s">
        <v>234</v>
      </c>
      <c r="G603">
        <v>88</v>
      </c>
      <c r="H603" t="s">
        <v>220</v>
      </c>
      <c r="I603" t="s">
        <v>63</v>
      </c>
    </row>
    <row r="604" spans="1:9" x14ac:dyDescent="0.3">
      <c r="A604" s="41">
        <v>45839</v>
      </c>
      <c r="B604" s="42">
        <v>0.12907407407407409</v>
      </c>
      <c r="C604" t="s">
        <v>233</v>
      </c>
      <c r="D604" t="s">
        <v>28</v>
      </c>
      <c r="E604" t="s">
        <v>31</v>
      </c>
      <c r="F604" t="s">
        <v>235</v>
      </c>
      <c r="G604">
        <v>44</v>
      </c>
      <c r="H604" t="s">
        <v>220</v>
      </c>
      <c r="I604" t="s">
        <v>70</v>
      </c>
    </row>
    <row r="605" spans="1:9" x14ac:dyDescent="0.3">
      <c r="A605" s="41">
        <v>45839</v>
      </c>
      <c r="B605" s="42">
        <v>7.4409722222222224E-2</v>
      </c>
      <c r="C605" t="s">
        <v>233</v>
      </c>
      <c r="D605" t="s">
        <v>28</v>
      </c>
      <c r="E605" t="s">
        <v>31</v>
      </c>
      <c r="F605" t="s">
        <v>236</v>
      </c>
      <c r="G605">
        <v>0</v>
      </c>
      <c r="H605" t="s">
        <v>220</v>
      </c>
      <c r="I605" t="s">
        <v>64</v>
      </c>
    </row>
    <row r="606" spans="1:9" x14ac:dyDescent="0.3">
      <c r="A606" s="41">
        <v>45838</v>
      </c>
      <c r="B606" s="42">
        <v>0.37974537037037043</v>
      </c>
      <c r="C606" t="s">
        <v>218</v>
      </c>
      <c r="D606" t="s">
        <v>328</v>
      </c>
      <c r="E606" t="s">
        <v>31</v>
      </c>
      <c r="F606" t="s">
        <v>357</v>
      </c>
      <c r="G606">
        <v>296980</v>
      </c>
      <c r="H606" t="s">
        <v>220</v>
      </c>
      <c r="I606" t="s">
        <v>56</v>
      </c>
    </row>
    <row r="607" spans="1:9" x14ac:dyDescent="0.3">
      <c r="A607" s="41">
        <v>45837</v>
      </c>
      <c r="B607" s="42">
        <v>0.39458333333333329</v>
      </c>
      <c r="C607" t="s">
        <v>218</v>
      </c>
      <c r="D607" t="s">
        <v>31</v>
      </c>
      <c r="E607" t="s">
        <v>31</v>
      </c>
      <c r="F607" t="s">
        <v>230</v>
      </c>
      <c r="G607">
        <v>11</v>
      </c>
      <c r="H607" t="s">
        <v>220</v>
      </c>
      <c r="I607" t="s">
        <v>58</v>
      </c>
    </row>
    <row r="608" spans="1:9" x14ac:dyDescent="0.3">
      <c r="A608" s="41">
        <v>45836</v>
      </c>
      <c r="B608" s="42">
        <v>0.50265046296296301</v>
      </c>
      <c r="C608" t="s">
        <v>221</v>
      </c>
      <c r="D608" t="s">
        <v>39</v>
      </c>
      <c r="E608" t="s">
        <v>245</v>
      </c>
      <c r="F608" t="s">
        <v>267</v>
      </c>
      <c r="G608">
        <v>0</v>
      </c>
      <c r="H608" t="s">
        <v>220</v>
      </c>
      <c r="I608" t="s">
        <v>268</v>
      </c>
    </row>
    <row r="609" spans="1:9" x14ac:dyDescent="0.3">
      <c r="A609" s="41">
        <v>45836</v>
      </c>
      <c r="B609" s="42">
        <v>0.16951388888888891</v>
      </c>
      <c r="C609" t="s">
        <v>233</v>
      </c>
      <c r="D609" t="s">
        <v>28</v>
      </c>
      <c r="E609" t="s">
        <v>31</v>
      </c>
      <c r="F609" t="s">
        <v>234</v>
      </c>
      <c r="G609">
        <v>0</v>
      </c>
      <c r="H609" t="s">
        <v>220</v>
      </c>
      <c r="I609" t="s">
        <v>66</v>
      </c>
    </row>
    <row r="610" spans="1:9" x14ac:dyDescent="0.3">
      <c r="A610" s="41">
        <v>45836</v>
      </c>
      <c r="B610" s="42">
        <v>0.1106365740740741</v>
      </c>
      <c r="C610" t="s">
        <v>218</v>
      </c>
      <c r="D610" t="s">
        <v>238</v>
      </c>
      <c r="E610" t="s">
        <v>31</v>
      </c>
      <c r="F610" t="s">
        <v>249</v>
      </c>
      <c r="G610">
        <v>0</v>
      </c>
      <c r="H610" t="s">
        <v>220</v>
      </c>
      <c r="I610" t="s">
        <v>65</v>
      </c>
    </row>
    <row r="611" spans="1:9" x14ac:dyDescent="0.3">
      <c r="A611" s="41">
        <v>45836</v>
      </c>
      <c r="B611" s="42">
        <v>0.1070949074074074</v>
      </c>
      <c r="C611" t="s">
        <v>233</v>
      </c>
      <c r="D611" t="s">
        <v>28</v>
      </c>
      <c r="E611" t="s">
        <v>31</v>
      </c>
      <c r="F611" t="s">
        <v>250</v>
      </c>
      <c r="G611">
        <v>0</v>
      </c>
      <c r="H611" t="s">
        <v>220</v>
      </c>
      <c r="I611" t="s">
        <v>71</v>
      </c>
    </row>
    <row r="612" spans="1:9" x14ac:dyDescent="0.3">
      <c r="A612" s="41">
        <v>45832</v>
      </c>
      <c r="B612" s="42">
        <v>0.75828703703703704</v>
      </c>
      <c r="C612" t="s">
        <v>221</v>
      </c>
      <c r="D612" t="s">
        <v>44</v>
      </c>
      <c r="E612" t="s">
        <v>240</v>
      </c>
      <c r="F612" t="s">
        <v>241</v>
      </c>
      <c r="G612">
        <v>-255290</v>
      </c>
      <c r="H612" t="s">
        <v>220</v>
      </c>
      <c r="I612" t="s">
        <v>242</v>
      </c>
    </row>
    <row r="613" spans="1:9" x14ac:dyDescent="0.3">
      <c r="A613" s="41">
        <v>45832</v>
      </c>
      <c r="B613" s="42">
        <v>0.6887268518518519</v>
      </c>
      <c r="C613" t="s">
        <v>221</v>
      </c>
      <c r="D613" t="s">
        <v>37</v>
      </c>
      <c r="E613" t="s">
        <v>255</v>
      </c>
      <c r="F613" t="s">
        <v>417</v>
      </c>
      <c r="G613">
        <v>0</v>
      </c>
      <c r="H613" t="s">
        <v>220</v>
      </c>
      <c r="I613" t="s">
        <v>268</v>
      </c>
    </row>
    <row r="614" spans="1:9" x14ac:dyDescent="0.3">
      <c r="A614" s="41">
        <v>45832</v>
      </c>
      <c r="B614" s="42">
        <v>0.48049768518518521</v>
      </c>
      <c r="C614" t="s">
        <v>218</v>
      </c>
      <c r="D614" t="s">
        <v>238</v>
      </c>
      <c r="E614" t="s">
        <v>31</v>
      </c>
      <c r="F614" t="s">
        <v>418</v>
      </c>
      <c r="G614">
        <v>2809</v>
      </c>
      <c r="H614" t="s">
        <v>220</v>
      </c>
      <c r="I614" t="s">
        <v>57</v>
      </c>
    </row>
    <row r="615" spans="1:9" x14ac:dyDescent="0.3">
      <c r="A615" s="41">
        <v>45832</v>
      </c>
      <c r="B615" s="42">
        <v>0.48002314814814823</v>
      </c>
      <c r="C615" t="s">
        <v>221</v>
      </c>
      <c r="D615" t="s">
        <v>44</v>
      </c>
      <c r="E615" t="s">
        <v>243</v>
      </c>
      <c r="F615" t="s">
        <v>356</v>
      </c>
      <c r="G615">
        <v>-100</v>
      </c>
      <c r="H615" t="s">
        <v>220</v>
      </c>
      <c r="I615" t="s">
        <v>242</v>
      </c>
    </row>
    <row r="616" spans="1:9" x14ac:dyDescent="0.3">
      <c r="A616" s="41">
        <v>45830</v>
      </c>
      <c r="B616" s="42">
        <v>0.3971527777777778</v>
      </c>
      <c r="C616" t="s">
        <v>233</v>
      </c>
      <c r="D616" t="s">
        <v>28</v>
      </c>
      <c r="E616" t="s">
        <v>31</v>
      </c>
      <c r="F616" t="s">
        <v>358</v>
      </c>
      <c r="G616">
        <v>23</v>
      </c>
      <c r="H616" t="s">
        <v>220</v>
      </c>
      <c r="I616" t="s">
        <v>55</v>
      </c>
    </row>
    <row r="617" spans="1:9" x14ac:dyDescent="0.3">
      <c r="A617" s="41">
        <v>45829</v>
      </c>
      <c r="B617" s="42">
        <v>0.67799768518518522</v>
      </c>
      <c r="C617" t="s">
        <v>233</v>
      </c>
      <c r="D617" t="s">
        <v>28</v>
      </c>
      <c r="E617" t="s">
        <v>31</v>
      </c>
      <c r="F617" t="s">
        <v>312</v>
      </c>
      <c r="G617">
        <v>0</v>
      </c>
      <c r="H617" t="s">
        <v>220</v>
      </c>
      <c r="I617" t="s">
        <v>59</v>
      </c>
    </row>
    <row r="618" spans="1:9" x14ac:dyDescent="0.3">
      <c r="A618" s="41">
        <v>45829</v>
      </c>
      <c r="B618" s="42">
        <v>0.21059027777777781</v>
      </c>
      <c r="C618" t="s">
        <v>218</v>
      </c>
      <c r="D618" t="s">
        <v>31</v>
      </c>
      <c r="E618" t="s">
        <v>31</v>
      </c>
      <c r="F618" t="s">
        <v>230</v>
      </c>
      <c r="G618">
        <v>0</v>
      </c>
      <c r="H618" t="s">
        <v>220</v>
      </c>
      <c r="I618" t="s">
        <v>68</v>
      </c>
    </row>
    <row r="619" spans="1:9" x14ac:dyDescent="0.3">
      <c r="A619" s="41">
        <v>45827</v>
      </c>
      <c r="B619" s="42">
        <v>0.41682870370370367</v>
      </c>
      <c r="C619" t="s">
        <v>218</v>
      </c>
      <c r="D619" t="s">
        <v>229</v>
      </c>
      <c r="E619" t="s">
        <v>31</v>
      </c>
      <c r="F619" t="s">
        <v>7</v>
      </c>
      <c r="G619">
        <v>-900000</v>
      </c>
      <c r="H619" t="s">
        <v>220</v>
      </c>
      <c r="I619" t="s">
        <v>57</v>
      </c>
    </row>
    <row r="620" spans="1:9" x14ac:dyDescent="0.3">
      <c r="A620" s="41">
        <v>45827</v>
      </c>
      <c r="B620" s="42">
        <v>0.38663194444444438</v>
      </c>
      <c r="C620" t="s">
        <v>221</v>
      </c>
      <c r="D620" t="s">
        <v>44</v>
      </c>
      <c r="E620" t="s">
        <v>243</v>
      </c>
      <c r="F620" t="s">
        <v>251</v>
      </c>
      <c r="G620">
        <v>-36380</v>
      </c>
      <c r="H620" t="s">
        <v>220</v>
      </c>
      <c r="I620" t="s">
        <v>242</v>
      </c>
    </row>
    <row r="621" spans="1:9" x14ac:dyDescent="0.3">
      <c r="A621" s="41">
        <v>45826</v>
      </c>
      <c r="B621" s="42">
        <v>0.79292824074074075</v>
      </c>
      <c r="C621" t="s">
        <v>218</v>
      </c>
      <c r="D621" t="s">
        <v>218</v>
      </c>
      <c r="E621" t="s">
        <v>31</v>
      </c>
      <c r="F621" t="s">
        <v>339</v>
      </c>
      <c r="G621">
        <v>10000</v>
      </c>
      <c r="H621" t="s">
        <v>220</v>
      </c>
      <c r="I621" t="s">
        <v>56</v>
      </c>
    </row>
    <row r="622" spans="1:9" x14ac:dyDescent="0.3">
      <c r="A622" s="41">
        <v>45826</v>
      </c>
      <c r="B622" s="42">
        <v>0.59282407407407411</v>
      </c>
      <c r="C622" t="s">
        <v>218</v>
      </c>
      <c r="D622" t="s">
        <v>229</v>
      </c>
      <c r="E622" t="s">
        <v>31</v>
      </c>
      <c r="F622" t="s">
        <v>7</v>
      </c>
      <c r="G622">
        <v>260000</v>
      </c>
      <c r="H622" t="s">
        <v>220</v>
      </c>
      <c r="I622" t="s">
        <v>57</v>
      </c>
    </row>
    <row r="623" spans="1:9" x14ac:dyDescent="0.3">
      <c r="A623" s="41">
        <v>45826</v>
      </c>
      <c r="B623" s="42">
        <v>0.41675925925925927</v>
      </c>
      <c r="C623" t="s">
        <v>218</v>
      </c>
      <c r="D623" t="s">
        <v>218</v>
      </c>
      <c r="E623" t="s">
        <v>31</v>
      </c>
      <c r="F623" t="s">
        <v>419</v>
      </c>
      <c r="G623">
        <v>-800000</v>
      </c>
      <c r="H623" t="s">
        <v>220</v>
      </c>
      <c r="I623" t="s">
        <v>57</v>
      </c>
    </row>
    <row r="624" spans="1:9" x14ac:dyDescent="0.3">
      <c r="A624" s="41">
        <v>45825</v>
      </c>
      <c r="B624" s="42">
        <v>0.79171296296296301</v>
      </c>
      <c r="C624" t="s">
        <v>218</v>
      </c>
      <c r="D624" t="s">
        <v>218</v>
      </c>
      <c r="E624" t="s">
        <v>31</v>
      </c>
      <c r="F624" t="s">
        <v>420</v>
      </c>
      <c r="G624">
        <v>-800000</v>
      </c>
      <c r="H624" t="s">
        <v>220</v>
      </c>
      <c r="I624" t="s">
        <v>57</v>
      </c>
    </row>
    <row r="625" spans="1:9" x14ac:dyDescent="0.3">
      <c r="A625" s="41">
        <v>45825</v>
      </c>
      <c r="B625" s="42">
        <v>0.38844907407407409</v>
      </c>
      <c r="C625" t="s">
        <v>218</v>
      </c>
      <c r="D625" t="s">
        <v>218</v>
      </c>
      <c r="E625" t="s">
        <v>31</v>
      </c>
      <c r="F625" t="s">
        <v>347</v>
      </c>
      <c r="G625">
        <v>-500000</v>
      </c>
      <c r="H625" t="s">
        <v>220</v>
      </c>
      <c r="I625" t="s">
        <v>61</v>
      </c>
    </row>
    <row r="626" spans="1:9" x14ac:dyDescent="0.3">
      <c r="A626" s="41">
        <v>45825</v>
      </c>
      <c r="B626" s="42">
        <v>0.38675925925925919</v>
      </c>
      <c r="C626" t="s">
        <v>233</v>
      </c>
      <c r="D626" t="s">
        <v>29</v>
      </c>
      <c r="E626" t="s">
        <v>31</v>
      </c>
      <c r="F626" t="s">
        <v>421</v>
      </c>
      <c r="G626">
        <v>2977800</v>
      </c>
      <c r="H626" t="s">
        <v>220</v>
      </c>
      <c r="I626" t="s">
        <v>57</v>
      </c>
    </row>
    <row r="627" spans="1:9" x14ac:dyDescent="0.3">
      <c r="A627" s="41">
        <v>45825</v>
      </c>
      <c r="B627" s="42">
        <v>0.34714120370370372</v>
      </c>
      <c r="C627" t="s">
        <v>218</v>
      </c>
      <c r="D627" t="s">
        <v>218</v>
      </c>
      <c r="E627" t="s">
        <v>31</v>
      </c>
      <c r="F627" t="s">
        <v>339</v>
      </c>
      <c r="G627">
        <v>500000</v>
      </c>
      <c r="H627" t="s">
        <v>220</v>
      </c>
      <c r="I627" t="s">
        <v>61</v>
      </c>
    </row>
    <row r="628" spans="1:9" x14ac:dyDescent="0.3">
      <c r="A628" s="41">
        <v>45823</v>
      </c>
      <c r="B628" s="42">
        <v>0.93763888888888891</v>
      </c>
      <c r="C628" t="s">
        <v>221</v>
      </c>
      <c r="D628" t="s">
        <v>42</v>
      </c>
      <c r="E628" t="s">
        <v>386</v>
      </c>
      <c r="F628" t="s">
        <v>387</v>
      </c>
      <c r="G628">
        <v>-555</v>
      </c>
      <c r="H628" t="s">
        <v>220</v>
      </c>
      <c r="I628" t="s">
        <v>228</v>
      </c>
    </row>
    <row r="629" spans="1:9" x14ac:dyDescent="0.3">
      <c r="A629" s="41">
        <v>45823</v>
      </c>
      <c r="B629" s="42">
        <v>0.73432870370370373</v>
      </c>
      <c r="C629" t="s">
        <v>221</v>
      </c>
      <c r="D629" t="s">
        <v>39</v>
      </c>
      <c r="E629" t="s">
        <v>245</v>
      </c>
      <c r="F629" t="s">
        <v>267</v>
      </c>
      <c r="G629">
        <v>0</v>
      </c>
      <c r="H629" t="s">
        <v>220</v>
      </c>
      <c r="I629" t="s">
        <v>268</v>
      </c>
    </row>
    <row r="630" spans="1:9" x14ac:dyDescent="0.3">
      <c r="A630" s="41">
        <v>45823</v>
      </c>
      <c r="B630" s="42">
        <v>0.70630787037037035</v>
      </c>
      <c r="C630" t="s">
        <v>221</v>
      </c>
      <c r="D630" t="s">
        <v>39</v>
      </c>
      <c r="E630" t="s">
        <v>245</v>
      </c>
      <c r="F630" t="s">
        <v>267</v>
      </c>
      <c r="G630">
        <v>0</v>
      </c>
      <c r="H630" t="s">
        <v>220</v>
      </c>
      <c r="I630" t="s">
        <v>268</v>
      </c>
    </row>
    <row r="631" spans="1:9" x14ac:dyDescent="0.3">
      <c r="A631" s="41">
        <v>45823</v>
      </c>
      <c r="B631" s="42">
        <v>0.60143518518518524</v>
      </c>
      <c r="C631" t="s">
        <v>233</v>
      </c>
      <c r="D631" t="s">
        <v>28</v>
      </c>
      <c r="E631" t="s">
        <v>31</v>
      </c>
      <c r="F631" t="s">
        <v>361</v>
      </c>
      <c r="G631">
        <v>26</v>
      </c>
      <c r="H631" t="s">
        <v>220</v>
      </c>
      <c r="I631" t="s">
        <v>69</v>
      </c>
    </row>
    <row r="632" spans="1:9" x14ac:dyDescent="0.3">
      <c r="A632" s="41">
        <v>45821</v>
      </c>
      <c r="B632" s="42">
        <v>0.58101851851851849</v>
      </c>
      <c r="C632" t="s">
        <v>233</v>
      </c>
      <c r="D632" t="s">
        <v>28</v>
      </c>
      <c r="E632" t="s">
        <v>31</v>
      </c>
      <c r="F632" t="s">
        <v>422</v>
      </c>
      <c r="G632">
        <v>20000</v>
      </c>
      <c r="H632" t="s">
        <v>220</v>
      </c>
      <c r="I632" t="s">
        <v>57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jungwoo</dc:creator>
  <cp:lastModifiedBy>park jungwoo</cp:lastModifiedBy>
  <dcterms:created xsi:type="dcterms:W3CDTF">2026-06-12T10:49:59Z</dcterms:created>
  <dcterms:modified xsi:type="dcterms:W3CDTF">2026-06-12T10:49:14Z</dcterms:modified>
</cp:coreProperties>
</file>